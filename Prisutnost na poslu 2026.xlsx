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jan Paunovic\OneDrive - IERVOLINO STUDIOS d.o.o\Desktop\"/>
    </mc:Choice>
  </mc:AlternateContent>
  <xr:revisionPtr revIDLastSave="0" documentId="8_{A9B61B4F-CD01-4DA3-85A5-4D96C830F490}" xr6:coauthVersionLast="47" xr6:coauthVersionMax="47" xr10:uidLastSave="{00000000-0000-0000-0000-000000000000}"/>
  <bookViews>
    <workbookView xWindow="-23955" yWindow="285" windowWidth="23745" windowHeight="14955" activeTab="3" xr2:uid="{6F3C87FA-EF93-47C2-AA5D-F58D14BE2DFD}"/>
  </bookViews>
  <sheets>
    <sheet name="01_2026" sheetId="12" r:id="rId1"/>
    <sheet name="02_2026" sheetId="13" r:id="rId2"/>
    <sheet name="03_2026" sheetId="14" r:id="rId3"/>
    <sheet name="04_2026" sheetId="15" r:id="rId4"/>
  </sheets>
  <definedNames>
    <definedName name="_xlnm._FilterDatabase" localSheetId="0" hidden="1">'01_2026'!$A$2:$AP$66</definedName>
    <definedName name="_xlnm._FilterDatabase" localSheetId="1" hidden="1">'02_2026'!$A$2:$AM$84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5" l="1"/>
  <c r="H12" i="15"/>
  <c r="H8" i="15"/>
  <c r="H7" i="15"/>
  <c r="H9" i="15"/>
  <c r="H10" i="15"/>
  <c r="H11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1" i="15"/>
  <c r="H6" i="15"/>
  <c r="AJ70" i="15"/>
  <c r="AK70" i="15"/>
  <c r="AL70" i="15"/>
  <c r="AI68" i="15"/>
  <c r="AJ68" i="15"/>
  <c r="AK68" i="15"/>
  <c r="AL68" i="15"/>
  <c r="AI67" i="15"/>
  <c r="AJ67" i="15"/>
  <c r="AJ71" i="15" s="1"/>
  <c r="AJ72" i="15" s="1"/>
  <c r="AK67" i="15"/>
  <c r="AK71" i="15" s="1"/>
  <c r="AK72" i="15" s="1"/>
  <c r="AL67" i="15"/>
  <c r="AL71" i="15" s="1"/>
  <c r="AL72" i="15" s="1"/>
  <c r="AI66" i="15"/>
  <c r="AJ66" i="15"/>
  <c r="AK66" i="15"/>
  <c r="AL66" i="15"/>
  <c r="AL65" i="15"/>
  <c r="AK65" i="15"/>
  <c r="AJ65" i="15"/>
  <c r="AF65" i="15"/>
  <c r="AE65" i="15"/>
  <c r="AD65" i="15"/>
  <c r="AC65" i="15"/>
  <c r="AB65" i="15"/>
  <c r="AI65" i="15"/>
  <c r="Y65" i="15"/>
  <c r="X65" i="15"/>
  <c r="W65" i="15"/>
  <c r="V65" i="15"/>
  <c r="Q65" i="15"/>
  <c r="P65" i="15"/>
  <c r="O65" i="15"/>
  <c r="N65" i="15"/>
  <c r="K65" i="15"/>
  <c r="J65" i="15"/>
  <c r="I65" i="15"/>
  <c r="I66" i="15"/>
  <c r="AJ69" i="14"/>
  <c r="AK69" i="14"/>
  <c r="AL69" i="14"/>
  <c r="AJ68" i="14"/>
  <c r="AJ72" i="14" s="1"/>
  <c r="AJ73" i="14" s="1"/>
  <c r="AK68" i="14"/>
  <c r="AK72" i="14" s="1"/>
  <c r="AK73" i="14" s="1"/>
  <c r="AL68" i="14"/>
  <c r="AL72" i="14" s="1"/>
  <c r="AL73" i="14" s="1"/>
  <c r="AJ67" i="14"/>
  <c r="AK67" i="14"/>
  <c r="AL67" i="14"/>
  <c r="AJ71" i="14"/>
  <c r="AK71" i="14"/>
  <c r="AL71" i="14"/>
  <c r="AL66" i="14"/>
  <c r="AK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S66" i="14"/>
  <c r="R66" i="14"/>
  <c r="Q66" i="14"/>
  <c r="P66" i="14"/>
  <c r="O66" i="14"/>
  <c r="M66" i="14"/>
  <c r="L66" i="14"/>
  <c r="K66" i="14"/>
  <c r="J66" i="14"/>
  <c r="I66" i="14"/>
  <c r="AM6" i="15"/>
  <c r="AN6" i="15"/>
  <c r="AO6" i="15"/>
  <c r="AQ6" i="15"/>
  <c r="AR6" i="15"/>
  <c r="AS6" i="15"/>
  <c r="AX6" i="15"/>
  <c r="AZ6" i="15"/>
  <c r="AM7" i="15"/>
  <c r="AN7" i="15"/>
  <c r="AO7" i="15" s="1"/>
  <c r="AQ7" i="15"/>
  <c r="AR7" i="15"/>
  <c r="AS7" i="15"/>
  <c r="AX7" i="15"/>
  <c r="AZ7" i="15"/>
  <c r="AM8" i="15"/>
  <c r="AN8" i="15"/>
  <c r="AQ8" i="15"/>
  <c r="AR8" i="15"/>
  <c r="AS8" i="15"/>
  <c r="AX8" i="15"/>
  <c r="AZ8" i="15"/>
  <c r="AM9" i="15"/>
  <c r="AN9" i="15"/>
  <c r="AO9" i="15" s="1"/>
  <c r="AQ9" i="15"/>
  <c r="AR9" i="15"/>
  <c r="AS9" i="15"/>
  <c r="AX9" i="15"/>
  <c r="AZ9" i="15"/>
  <c r="AM10" i="15"/>
  <c r="AN10" i="15"/>
  <c r="AO10" i="15" s="1"/>
  <c r="AQ10" i="15"/>
  <c r="AR10" i="15"/>
  <c r="AS10" i="15"/>
  <c r="AM11" i="15"/>
  <c r="AN11" i="15"/>
  <c r="AO11" i="15" s="1"/>
  <c r="AQ11" i="15"/>
  <c r="AR11" i="15"/>
  <c r="AS11" i="15"/>
  <c r="AX11" i="15"/>
  <c r="AZ11" i="15"/>
  <c r="AM12" i="15"/>
  <c r="AO12" i="15" s="1"/>
  <c r="AN12" i="15"/>
  <c r="AM13" i="15"/>
  <c r="AN13" i="15"/>
  <c r="AQ13" i="15"/>
  <c r="AR13" i="15"/>
  <c r="AS13" i="15"/>
  <c r="AX13" i="15"/>
  <c r="AZ13" i="15"/>
  <c r="AM14" i="15"/>
  <c r="AN14" i="15"/>
  <c r="AO14" i="15" s="1"/>
  <c r="AQ14" i="15"/>
  <c r="AR14" i="15"/>
  <c r="AS14" i="15"/>
  <c r="AX14" i="15"/>
  <c r="AZ14" i="15"/>
  <c r="AM15" i="15"/>
  <c r="AN15" i="15"/>
  <c r="AO15" i="15" s="1"/>
  <c r="AQ15" i="15"/>
  <c r="AR15" i="15"/>
  <c r="AS15" i="15"/>
  <c r="AX15" i="15"/>
  <c r="AZ15" i="15"/>
  <c r="AM16" i="15"/>
  <c r="AN16" i="15"/>
  <c r="AO16" i="15" s="1"/>
  <c r="AQ16" i="15"/>
  <c r="AR16" i="15"/>
  <c r="AS16" i="15"/>
  <c r="AX16" i="15"/>
  <c r="AZ16" i="15"/>
  <c r="AM17" i="15"/>
  <c r="AN17" i="15"/>
  <c r="AQ17" i="15"/>
  <c r="AR17" i="15"/>
  <c r="AS17" i="15"/>
  <c r="AX17" i="15"/>
  <c r="AZ17" i="15"/>
  <c r="AM18" i="15"/>
  <c r="AN18" i="15"/>
  <c r="AQ18" i="15"/>
  <c r="AR18" i="15"/>
  <c r="AS18" i="15"/>
  <c r="AX18" i="15"/>
  <c r="AZ18" i="15"/>
  <c r="AM19" i="15"/>
  <c r="AN19" i="15"/>
  <c r="AQ19" i="15"/>
  <c r="AR19" i="15"/>
  <c r="AS19" i="15"/>
  <c r="AX19" i="15"/>
  <c r="AZ19" i="15"/>
  <c r="AM20" i="15"/>
  <c r="AN20" i="15"/>
  <c r="AO20" i="15" s="1"/>
  <c r="AQ20" i="15"/>
  <c r="AR20" i="15"/>
  <c r="AS20" i="15"/>
  <c r="AX20" i="15"/>
  <c r="AZ20" i="15"/>
  <c r="AM21" i="15"/>
  <c r="AN21" i="15"/>
  <c r="AQ21" i="15"/>
  <c r="AR21" i="15"/>
  <c r="AS21" i="15"/>
  <c r="AX21" i="15"/>
  <c r="AM22" i="15"/>
  <c r="AN22" i="15"/>
  <c r="AO22" i="15" s="1"/>
  <c r="AQ22" i="15"/>
  <c r="AR22" i="15"/>
  <c r="AS22" i="15"/>
  <c r="AX22" i="15"/>
  <c r="AZ22" i="15"/>
  <c r="AM23" i="15"/>
  <c r="AN23" i="15"/>
  <c r="AO23" i="15" s="1"/>
  <c r="AQ23" i="15"/>
  <c r="AR23" i="15"/>
  <c r="AS23" i="15"/>
  <c r="AX23" i="15"/>
  <c r="AZ23" i="15"/>
  <c r="AM24" i="15"/>
  <c r="AO24" i="15" s="1"/>
  <c r="AN24" i="15"/>
  <c r="AQ24" i="15"/>
  <c r="AR24" i="15"/>
  <c r="AS24" i="15"/>
  <c r="AX24" i="15"/>
  <c r="AZ24" i="15"/>
  <c r="AM25" i="15"/>
  <c r="AN25" i="15"/>
  <c r="AO25" i="15" s="1"/>
  <c r="AQ25" i="15"/>
  <c r="AR25" i="15"/>
  <c r="AS25" i="15"/>
  <c r="AX25" i="15"/>
  <c r="AZ25" i="15"/>
  <c r="AM26" i="15"/>
  <c r="AN26" i="15"/>
  <c r="AO26" i="15" s="1"/>
  <c r="AQ26" i="15"/>
  <c r="AR26" i="15"/>
  <c r="AS26" i="15"/>
  <c r="AX26" i="15"/>
  <c r="AZ26" i="15"/>
  <c r="AM27" i="15"/>
  <c r="AN27" i="15"/>
  <c r="AQ27" i="15"/>
  <c r="AR27" i="15"/>
  <c r="AS27" i="15"/>
  <c r="AX27" i="15"/>
  <c r="AZ27" i="15"/>
  <c r="AM28" i="15"/>
  <c r="AN28" i="15"/>
  <c r="AQ28" i="15"/>
  <c r="AR28" i="15"/>
  <c r="AS28" i="15"/>
  <c r="AX28" i="15"/>
  <c r="AZ28" i="15"/>
  <c r="AM29" i="15"/>
  <c r="AN29" i="15"/>
  <c r="AO29" i="15" s="1"/>
  <c r="AQ29" i="15"/>
  <c r="AR29" i="15"/>
  <c r="AS29" i="15"/>
  <c r="AX29" i="15"/>
  <c r="AZ29" i="15"/>
  <c r="AM30" i="15"/>
  <c r="AN30" i="15"/>
  <c r="AO30" i="15" s="1"/>
  <c r="AQ30" i="15"/>
  <c r="AR30" i="15"/>
  <c r="AS30" i="15"/>
  <c r="AX30" i="15"/>
  <c r="AZ30" i="15"/>
  <c r="AM31" i="15"/>
  <c r="AN31" i="15"/>
  <c r="AQ31" i="15"/>
  <c r="AR31" i="15"/>
  <c r="AS31" i="15"/>
  <c r="AX31" i="15"/>
  <c r="AZ31" i="15"/>
  <c r="AM32" i="15"/>
  <c r="AN32" i="15"/>
  <c r="AQ32" i="15"/>
  <c r="AR32" i="15"/>
  <c r="AS32" i="15"/>
  <c r="AX32" i="15"/>
  <c r="AM33" i="15"/>
  <c r="AN33" i="15"/>
  <c r="AQ33" i="15"/>
  <c r="AR33" i="15"/>
  <c r="AS33" i="15"/>
  <c r="AX33" i="15"/>
  <c r="AZ33" i="15"/>
  <c r="AM34" i="15"/>
  <c r="AN34" i="15"/>
  <c r="AQ34" i="15"/>
  <c r="AR34" i="15"/>
  <c r="AS34" i="15"/>
  <c r="AX34" i="15"/>
  <c r="AZ34" i="15"/>
  <c r="AM35" i="15"/>
  <c r="AN35" i="15"/>
  <c r="AQ35" i="15"/>
  <c r="AR35" i="15"/>
  <c r="AS35" i="15"/>
  <c r="AX35" i="15"/>
  <c r="AZ35" i="15"/>
  <c r="AM36" i="15"/>
  <c r="AN36" i="15"/>
  <c r="AO36" i="15" s="1"/>
  <c r="AQ36" i="15"/>
  <c r="AR36" i="15"/>
  <c r="AS36" i="15"/>
  <c r="AX36" i="15"/>
  <c r="AZ36" i="15"/>
  <c r="AM37" i="15"/>
  <c r="AN37" i="15"/>
  <c r="AQ37" i="15"/>
  <c r="AR37" i="15"/>
  <c r="AS37" i="15"/>
  <c r="AX37" i="15"/>
  <c r="AM38" i="15"/>
  <c r="AN38" i="15"/>
  <c r="AO38" i="15" s="1"/>
  <c r="AQ38" i="15"/>
  <c r="AR38" i="15"/>
  <c r="AS38" i="15"/>
  <c r="AX38" i="15"/>
  <c r="AM39" i="15"/>
  <c r="AN39" i="15"/>
  <c r="AO39" i="15"/>
  <c r="AQ39" i="15"/>
  <c r="AR39" i="15"/>
  <c r="AS39" i="15"/>
  <c r="AX39" i="15"/>
  <c r="AZ39" i="15"/>
  <c r="AM40" i="15"/>
  <c r="AN40" i="15"/>
  <c r="AQ40" i="15"/>
  <c r="AR40" i="15"/>
  <c r="AS40" i="15"/>
  <c r="AX40" i="15"/>
  <c r="AZ40" i="15"/>
  <c r="AM41" i="15"/>
  <c r="AN41" i="15"/>
  <c r="AQ41" i="15"/>
  <c r="AR41" i="15"/>
  <c r="AS41" i="15"/>
  <c r="AX41" i="15"/>
  <c r="AZ41" i="15"/>
  <c r="AM42" i="15"/>
  <c r="AN42" i="15"/>
  <c r="AQ42" i="15"/>
  <c r="AR42" i="15"/>
  <c r="AS42" i="15"/>
  <c r="AX42" i="15"/>
  <c r="AZ42" i="15"/>
  <c r="AM43" i="15"/>
  <c r="AN43" i="15"/>
  <c r="AO43" i="15" s="1"/>
  <c r="AQ43" i="15"/>
  <c r="AR43" i="15"/>
  <c r="AX43" i="15"/>
  <c r="AZ43" i="15"/>
  <c r="AM44" i="15"/>
  <c r="AN44" i="15"/>
  <c r="AQ44" i="15"/>
  <c r="AR44" i="15"/>
  <c r="AS44" i="15"/>
  <c r="AX44" i="15"/>
  <c r="AM45" i="15"/>
  <c r="AN45" i="15"/>
  <c r="AO45" i="15" s="1"/>
  <c r="AQ45" i="15"/>
  <c r="AR45" i="15"/>
  <c r="AS45" i="15"/>
  <c r="AZ45" i="15"/>
  <c r="AM46" i="15"/>
  <c r="AN46" i="15"/>
  <c r="AO46" i="15" s="1"/>
  <c r="AM47" i="15"/>
  <c r="AN47" i="15"/>
  <c r="AO47" i="15" s="1"/>
  <c r="AM48" i="15"/>
  <c r="AN48" i="15"/>
  <c r="AO48" i="15"/>
  <c r="AM49" i="15"/>
  <c r="AN49" i="15"/>
  <c r="AO49" i="15" s="1"/>
  <c r="AM50" i="15"/>
  <c r="AN50" i="15"/>
  <c r="AO50" i="15" s="1"/>
  <c r="AM51" i="15"/>
  <c r="AN51" i="15"/>
  <c r="AO51" i="15"/>
  <c r="AM52" i="15"/>
  <c r="AN52" i="15"/>
  <c r="AM53" i="15"/>
  <c r="AN53" i="15"/>
  <c r="AO53" i="15" s="1"/>
  <c r="AM54" i="15"/>
  <c r="AN54" i="15"/>
  <c r="AO54" i="15" s="1"/>
  <c r="AM55" i="15"/>
  <c r="AN55" i="15"/>
  <c r="AO55" i="15" s="1"/>
  <c r="AQ55" i="15"/>
  <c r="AR55" i="15"/>
  <c r="AM56" i="15"/>
  <c r="AN56" i="15"/>
  <c r="AM57" i="15"/>
  <c r="AN57" i="15"/>
  <c r="AQ57" i="15"/>
  <c r="AR57" i="15"/>
  <c r="AS57" i="15"/>
  <c r="AX57" i="15"/>
  <c r="AZ57" i="15"/>
  <c r="AM58" i="15"/>
  <c r="AN58" i="15"/>
  <c r="AO58" i="15"/>
  <c r="AQ58" i="15"/>
  <c r="AR58" i="15"/>
  <c r="AS58" i="15"/>
  <c r="AX58" i="15"/>
  <c r="AZ58" i="15"/>
  <c r="AM59" i="15"/>
  <c r="AN59" i="15"/>
  <c r="AO59" i="15" s="1"/>
  <c r="AQ59" i="15"/>
  <c r="AR59" i="15"/>
  <c r="AS59" i="15"/>
  <c r="AX59" i="15"/>
  <c r="AZ59" i="15"/>
  <c r="AM60" i="15"/>
  <c r="AN60" i="15"/>
  <c r="AO60" i="15" s="1"/>
  <c r="AM61" i="15"/>
  <c r="AN61" i="15"/>
  <c r="AQ61" i="15"/>
  <c r="AR61" i="15"/>
  <c r="AS61" i="15"/>
  <c r="AX61" i="15"/>
  <c r="AZ61" i="15"/>
  <c r="N62" i="15"/>
  <c r="Q62" i="15"/>
  <c r="R62" i="15"/>
  <c r="U62" i="15"/>
  <c r="V62" i="15"/>
  <c r="X62" i="15"/>
  <c r="Y62" i="15"/>
  <c r="AB62" i="15"/>
  <c r="AE62" i="15"/>
  <c r="AF62" i="15"/>
  <c r="AI62" i="15"/>
  <c r="AJ62" i="15"/>
  <c r="AK62" i="15"/>
  <c r="AL62" i="15"/>
  <c r="O63" i="15"/>
  <c r="AI63" i="15"/>
  <c r="T64" i="15"/>
  <c r="U64" i="15"/>
  <c r="AA64" i="15"/>
  <c r="AB64" i="15"/>
  <c r="AH64" i="15"/>
  <c r="AI64" i="15"/>
  <c r="L65" i="15"/>
  <c r="M65" i="15"/>
  <c r="S65" i="15"/>
  <c r="T65" i="15"/>
  <c r="AG65" i="15"/>
  <c r="AH65" i="15"/>
  <c r="J66" i="15"/>
  <c r="K66" i="15"/>
  <c r="L66" i="15"/>
  <c r="M66" i="15"/>
  <c r="N66" i="15"/>
  <c r="O66" i="15"/>
  <c r="P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I67" i="15"/>
  <c r="I71" i="15" s="1"/>
  <c r="J67" i="15"/>
  <c r="J71" i="15" s="1"/>
  <c r="J72" i="15" s="1"/>
  <c r="K67" i="15"/>
  <c r="K71" i="15" s="1"/>
  <c r="K72" i="15" s="1"/>
  <c r="L67" i="15"/>
  <c r="L71" i="15" s="1"/>
  <c r="M67" i="15"/>
  <c r="M71" i="15" s="1"/>
  <c r="N67" i="15"/>
  <c r="N71" i="15" s="1"/>
  <c r="N72" i="15" s="1"/>
  <c r="O67" i="15"/>
  <c r="O71" i="15" s="1"/>
  <c r="P67" i="15"/>
  <c r="P71" i="15" s="1"/>
  <c r="Q67" i="15"/>
  <c r="Q71" i="15" s="1"/>
  <c r="Q72" i="15" s="1"/>
  <c r="R67" i="15"/>
  <c r="R71" i="15" s="1"/>
  <c r="R72" i="15" s="1"/>
  <c r="S67" i="15"/>
  <c r="S71" i="15" s="1"/>
  <c r="T67" i="15"/>
  <c r="T71" i="15" s="1"/>
  <c r="U67" i="15"/>
  <c r="U71" i="15" s="1"/>
  <c r="V67" i="15"/>
  <c r="V71" i="15" s="1"/>
  <c r="V72" i="15" s="1"/>
  <c r="W67" i="15"/>
  <c r="W71" i="15" s="1"/>
  <c r="X67" i="15"/>
  <c r="X71" i="15" s="1"/>
  <c r="Y67" i="15"/>
  <c r="Y71" i="15" s="1"/>
  <c r="Z67" i="15"/>
  <c r="AA67" i="15"/>
  <c r="AB67" i="15"/>
  <c r="AB71" i="15" s="1"/>
  <c r="AC67" i="15"/>
  <c r="AC71" i="15" s="1"/>
  <c r="AD67" i="15"/>
  <c r="AD71" i="15" s="1"/>
  <c r="AD72" i="15" s="1"/>
  <c r="AE67" i="15"/>
  <c r="AE71" i="15" s="1"/>
  <c r="AE72" i="15" s="1"/>
  <c r="AF67" i="15"/>
  <c r="AF71" i="15" s="1"/>
  <c r="AG67" i="15"/>
  <c r="AG71" i="15" s="1"/>
  <c r="AH67" i="15"/>
  <c r="AH71" i="15" s="1"/>
  <c r="AI71" i="15"/>
  <c r="AI72" i="15" s="1"/>
  <c r="AU67" i="15"/>
  <c r="AV67" i="15"/>
  <c r="I68" i="15"/>
  <c r="J68" i="15"/>
  <c r="K68" i="15"/>
  <c r="L68" i="15"/>
  <c r="M68" i="15"/>
  <c r="N68" i="15"/>
  <c r="O68" i="15"/>
  <c r="P68" i="15"/>
  <c r="Q68" i="15"/>
  <c r="R68" i="15"/>
  <c r="S68" i="15"/>
  <c r="T68" i="15"/>
  <c r="U68" i="15"/>
  <c r="V68" i="15"/>
  <c r="W68" i="15"/>
  <c r="X68" i="15"/>
  <c r="Y68" i="15"/>
  <c r="Z68" i="15"/>
  <c r="AA68" i="15"/>
  <c r="AB68" i="15"/>
  <c r="AC68" i="15"/>
  <c r="AD68" i="15"/>
  <c r="AE68" i="15"/>
  <c r="AF68" i="15"/>
  <c r="AG68" i="15"/>
  <c r="AH68" i="15"/>
  <c r="I70" i="15"/>
  <c r="J70" i="15"/>
  <c r="K70" i="15"/>
  <c r="L70" i="15"/>
  <c r="M70" i="15"/>
  <c r="N70" i="15"/>
  <c r="O70" i="15"/>
  <c r="P70" i="15"/>
  <c r="Q70" i="15"/>
  <c r="R70" i="15"/>
  <c r="S70" i="15"/>
  <c r="T70" i="15"/>
  <c r="U70" i="15"/>
  <c r="V70" i="15"/>
  <c r="W70" i="15"/>
  <c r="X70" i="15"/>
  <c r="Y70" i="15"/>
  <c r="Z70" i="15"/>
  <c r="AA70" i="15"/>
  <c r="AB70" i="15"/>
  <c r="AC70" i="15"/>
  <c r="AD70" i="15"/>
  <c r="AE70" i="15"/>
  <c r="AF70" i="15"/>
  <c r="AG70" i="15"/>
  <c r="AH70" i="15"/>
  <c r="AI70" i="15"/>
  <c r="Z71" i="15"/>
  <c r="Z72" i="15" s="1"/>
  <c r="AA71" i="15"/>
  <c r="AH72" i="15" l="1"/>
  <c r="AO32" i="15"/>
  <c r="AO27" i="15"/>
  <c r="AO8" i="15"/>
  <c r="AO57" i="15"/>
  <c r="AO31" i="15"/>
  <c r="AO13" i="15"/>
  <c r="AC72" i="15"/>
  <c r="W72" i="15"/>
  <c r="AO56" i="15"/>
  <c r="Y72" i="15"/>
  <c r="AO40" i="15"/>
  <c r="AO33" i="15"/>
  <c r="AO17" i="15"/>
  <c r="S72" i="15"/>
  <c r="AO42" i="15"/>
  <c r="AO35" i="15"/>
  <c r="AO19" i="15"/>
  <c r="AO44" i="15"/>
  <c r="AO37" i="15"/>
  <c r="AO21" i="15"/>
  <c r="AO52" i="15"/>
  <c r="AO41" i="15"/>
  <c r="AO34" i="15"/>
  <c r="AO18" i="15"/>
  <c r="AO61" i="15"/>
  <c r="AA72" i="15"/>
  <c r="O72" i="15"/>
  <c r="AO28" i="15"/>
  <c r="AZ67" i="15"/>
  <c r="AG72" i="15"/>
  <c r="U72" i="15"/>
  <c r="I72" i="15"/>
  <c r="M72" i="15"/>
  <c r="AX67" i="15"/>
  <c r="AF72" i="15"/>
  <c r="T72" i="15"/>
  <c r="X72" i="15"/>
  <c r="L72" i="15"/>
  <c r="AB72" i="15"/>
  <c r="P72" i="15"/>
  <c r="X68" i="14" l="1"/>
  <c r="X72" i="14" s="1"/>
  <c r="Y68" i="14"/>
  <c r="Y72" i="14" s="1"/>
  <c r="Z68" i="14"/>
  <c r="AA68" i="14"/>
  <c r="AB68" i="14"/>
  <c r="AC68" i="14"/>
  <c r="AD68" i="14"/>
  <c r="AD72" i="14" s="1"/>
  <c r="AE68" i="14"/>
  <c r="AE72" i="14" s="1"/>
  <c r="AF68" i="14"/>
  <c r="AF72" i="14" s="1"/>
  <c r="AG68" i="14"/>
  <c r="AG72" i="14" s="1"/>
  <c r="AH68" i="14"/>
  <c r="AH72" i="14" s="1"/>
  <c r="AI68" i="14"/>
  <c r="AI72" i="14" s="1"/>
  <c r="I68" i="14"/>
  <c r="J68" i="14"/>
  <c r="K68" i="14"/>
  <c r="L68" i="14"/>
  <c r="M68" i="14"/>
  <c r="N68" i="14"/>
  <c r="N72" i="14" s="1"/>
  <c r="O68" i="14"/>
  <c r="P68" i="14"/>
  <c r="Q68" i="14"/>
  <c r="Q72" i="14" s="1"/>
  <c r="R68" i="14"/>
  <c r="R72" i="14" s="1"/>
  <c r="S68" i="14"/>
  <c r="S72" i="14" s="1"/>
  <c r="T68" i="14"/>
  <c r="T72" i="14" s="1"/>
  <c r="U68" i="14"/>
  <c r="U72" i="14" s="1"/>
  <c r="V68" i="14"/>
  <c r="V72" i="14" s="1"/>
  <c r="W68" i="14"/>
  <c r="W72" i="14" s="1"/>
  <c r="W73" i="14" s="1"/>
  <c r="AJ63" i="14"/>
  <c r="AK63" i="14"/>
  <c r="AL63" i="14"/>
  <c r="AN57" i="14"/>
  <c r="AO57" i="14" s="1"/>
  <c r="AN58" i="14"/>
  <c r="AO58" i="14"/>
  <c r="AN59" i="14"/>
  <c r="AO59" i="14" s="1"/>
  <c r="AN60" i="14"/>
  <c r="AO60" i="14"/>
  <c r="AN61" i="14"/>
  <c r="AO61" i="14" s="1"/>
  <c r="AN62" i="14"/>
  <c r="AO62" i="14"/>
  <c r="AO7" i="14"/>
  <c r="AO8" i="14"/>
  <c r="AO9" i="14"/>
  <c r="AO10" i="14"/>
  <c r="AO11" i="14"/>
  <c r="AO12" i="14"/>
  <c r="AO13" i="14"/>
  <c r="AO17" i="14"/>
  <c r="AO25" i="14"/>
  <c r="AO26" i="14"/>
  <c r="AO27" i="14"/>
  <c r="AO28" i="14"/>
  <c r="AO29" i="14"/>
  <c r="AO30" i="14"/>
  <c r="AO31" i="14"/>
  <c r="AO45" i="14"/>
  <c r="AO46" i="14"/>
  <c r="AO50" i="14"/>
  <c r="AN7" i="14"/>
  <c r="AN8" i="14"/>
  <c r="AN9" i="14"/>
  <c r="AN10" i="14"/>
  <c r="AN11" i="14"/>
  <c r="AN12" i="14"/>
  <c r="AN13" i="14"/>
  <c r="AN14" i="14"/>
  <c r="AO14" i="14" s="1"/>
  <c r="AN15" i="14"/>
  <c r="AO15" i="14" s="1"/>
  <c r="AN16" i="14"/>
  <c r="AO16" i="14" s="1"/>
  <c r="AN17" i="14"/>
  <c r="AN18" i="14"/>
  <c r="AO18" i="14" s="1"/>
  <c r="AN19" i="14"/>
  <c r="AO19" i="14" s="1"/>
  <c r="AN20" i="14"/>
  <c r="AO20" i="14" s="1"/>
  <c r="AN21" i="14"/>
  <c r="AO21" i="14" s="1"/>
  <c r="AN22" i="14"/>
  <c r="AO22" i="14" s="1"/>
  <c r="AN23" i="14"/>
  <c r="AO23" i="14" s="1"/>
  <c r="AN24" i="14"/>
  <c r="AO24" i="14" s="1"/>
  <c r="AN25" i="14"/>
  <c r="AN26" i="14"/>
  <c r="AN27" i="14"/>
  <c r="AN28" i="14"/>
  <c r="AN29" i="14"/>
  <c r="AN30" i="14"/>
  <c r="AN31" i="14"/>
  <c r="AN32" i="14"/>
  <c r="AO32" i="14" s="1"/>
  <c r="AN33" i="14"/>
  <c r="AO33" i="14" s="1"/>
  <c r="AN34" i="14"/>
  <c r="AO34" i="14" s="1"/>
  <c r="AN35" i="14"/>
  <c r="AO35" i="14" s="1"/>
  <c r="AN36" i="14"/>
  <c r="AO36" i="14" s="1"/>
  <c r="AN37" i="14"/>
  <c r="AO37" i="14" s="1"/>
  <c r="AN38" i="14"/>
  <c r="AO38" i="14" s="1"/>
  <c r="AN39" i="14"/>
  <c r="AO39" i="14" s="1"/>
  <c r="AN40" i="14"/>
  <c r="AO40" i="14" s="1"/>
  <c r="AN41" i="14"/>
  <c r="AO41" i="14" s="1"/>
  <c r="AN42" i="14"/>
  <c r="AO42" i="14" s="1"/>
  <c r="AN43" i="14"/>
  <c r="AO43" i="14" s="1"/>
  <c r="AN44" i="14"/>
  <c r="AO44" i="14" s="1"/>
  <c r="AN45" i="14"/>
  <c r="AN46" i="14"/>
  <c r="AN47" i="14"/>
  <c r="AO47" i="14" s="1"/>
  <c r="AN48" i="14"/>
  <c r="AO48" i="14" s="1"/>
  <c r="AN49" i="14"/>
  <c r="AO49" i="14" s="1"/>
  <c r="AN50" i="14"/>
  <c r="AN51" i="14"/>
  <c r="AO51" i="14" s="1"/>
  <c r="AN52" i="14"/>
  <c r="AO52" i="14" s="1"/>
  <c r="AN53" i="14"/>
  <c r="AO53" i="14" s="1"/>
  <c r="AN54" i="14"/>
  <c r="AO54" i="14" s="1"/>
  <c r="AN55" i="14"/>
  <c r="AO55" i="14" s="1"/>
  <c r="AN56" i="14"/>
  <c r="AO56" i="14" s="1"/>
  <c r="AN6" i="14"/>
  <c r="V63" i="14"/>
  <c r="AM6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AI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AV68" i="14"/>
  <c r="AU68" i="14"/>
  <c r="AC72" i="14"/>
  <c r="AB72" i="14"/>
  <c r="AA72" i="14"/>
  <c r="Z72" i="14"/>
  <c r="P72" i="14"/>
  <c r="O72" i="14"/>
  <c r="M72" i="14"/>
  <c r="L72" i="14"/>
  <c r="K72" i="14"/>
  <c r="J72" i="14"/>
  <c r="I72" i="14"/>
  <c r="AI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P67" i="14"/>
  <c r="O67" i="14"/>
  <c r="N67" i="14"/>
  <c r="M67" i="14"/>
  <c r="L67" i="14"/>
  <c r="K67" i="14"/>
  <c r="J67" i="14"/>
  <c r="I67" i="14"/>
  <c r="AI66" i="14"/>
  <c r="N66" i="14"/>
  <c r="AI65" i="14"/>
  <c r="AH65" i="14"/>
  <c r="AB65" i="14"/>
  <c r="AA65" i="14"/>
  <c r="U65" i="14"/>
  <c r="T65" i="14"/>
  <c r="AI64" i="14"/>
  <c r="O64" i="14"/>
  <c r="AI63" i="14"/>
  <c r="AF63" i="14"/>
  <c r="AE63" i="14"/>
  <c r="AB63" i="14"/>
  <c r="Y63" i="14"/>
  <c r="X63" i="14"/>
  <c r="U63" i="14"/>
  <c r="R63" i="14"/>
  <c r="Q63" i="14"/>
  <c r="N63" i="14"/>
  <c r="AZ62" i="14"/>
  <c r="AX62" i="14"/>
  <c r="AS62" i="14"/>
  <c r="AR62" i="14"/>
  <c r="AQ62" i="14"/>
  <c r="AM62" i="14"/>
  <c r="H62" i="14"/>
  <c r="AM61" i="14"/>
  <c r="H61" i="14"/>
  <c r="AZ60" i="14"/>
  <c r="AX60" i="14"/>
  <c r="AS60" i="14"/>
  <c r="AR60" i="14"/>
  <c r="AQ60" i="14"/>
  <c r="AM60" i="14"/>
  <c r="H60" i="14"/>
  <c r="AZ59" i="14"/>
  <c r="AX59" i="14"/>
  <c r="AS59" i="14"/>
  <c r="AR59" i="14"/>
  <c r="AQ59" i="14"/>
  <c r="AM59" i="14"/>
  <c r="H59" i="14"/>
  <c r="AZ58" i="14"/>
  <c r="AX58" i="14"/>
  <c r="AS58" i="14"/>
  <c r="AR58" i="14"/>
  <c r="AQ58" i="14"/>
  <c r="AM58" i="14"/>
  <c r="H58" i="14"/>
  <c r="AM57" i="14"/>
  <c r="H57" i="14"/>
  <c r="AR56" i="14"/>
  <c r="AQ56" i="14"/>
  <c r="AM56" i="14"/>
  <c r="H56" i="14"/>
  <c r="AM55" i="14"/>
  <c r="H55" i="14"/>
  <c r="AM54" i="14"/>
  <c r="H54" i="14"/>
  <c r="AM53" i="14"/>
  <c r="H53" i="14"/>
  <c r="AM52" i="14"/>
  <c r="H52" i="14"/>
  <c r="AM51" i="14"/>
  <c r="H51" i="14"/>
  <c r="AM50" i="14"/>
  <c r="H50" i="14"/>
  <c r="AM49" i="14"/>
  <c r="H49" i="14"/>
  <c r="AM48" i="14"/>
  <c r="H48" i="14"/>
  <c r="AM47" i="14"/>
  <c r="H47" i="14"/>
  <c r="AZ46" i="14"/>
  <c r="AS46" i="14"/>
  <c r="AR46" i="14"/>
  <c r="AQ46" i="14"/>
  <c r="AM46" i="14"/>
  <c r="H46" i="14"/>
  <c r="AX45" i="14"/>
  <c r="AS45" i="14"/>
  <c r="AR45" i="14"/>
  <c r="AQ45" i="14"/>
  <c r="AM45" i="14"/>
  <c r="H45" i="14"/>
  <c r="AZ44" i="14"/>
  <c r="AX44" i="14"/>
  <c r="AR44" i="14"/>
  <c r="AQ44" i="14"/>
  <c r="AM44" i="14"/>
  <c r="H44" i="14"/>
  <c r="AZ43" i="14"/>
  <c r="AX43" i="14"/>
  <c r="AS43" i="14"/>
  <c r="AR43" i="14"/>
  <c r="AQ43" i="14"/>
  <c r="AM43" i="14"/>
  <c r="H43" i="14"/>
  <c r="AZ42" i="14"/>
  <c r="AX42" i="14"/>
  <c r="AS42" i="14"/>
  <c r="AR42" i="14"/>
  <c r="AQ42" i="14"/>
  <c r="AM42" i="14"/>
  <c r="H42" i="14"/>
  <c r="AZ41" i="14"/>
  <c r="AX41" i="14"/>
  <c r="AS41" i="14"/>
  <c r="AR41" i="14"/>
  <c r="AQ41" i="14"/>
  <c r="AM41" i="14"/>
  <c r="H41" i="14"/>
  <c r="AZ40" i="14"/>
  <c r="AX40" i="14"/>
  <c r="AS40" i="14"/>
  <c r="AR40" i="14"/>
  <c r="AQ40" i="14"/>
  <c r="AM40" i="14"/>
  <c r="H40" i="14"/>
  <c r="AX39" i="14"/>
  <c r="AS39" i="14"/>
  <c r="AR39" i="14"/>
  <c r="AQ39" i="14"/>
  <c r="AM39" i="14"/>
  <c r="H39" i="14"/>
  <c r="AS38" i="14"/>
  <c r="AR38" i="14"/>
  <c r="AQ38" i="14"/>
  <c r="AM38" i="14"/>
  <c r="H38" i="14"/>
  <c r="AX37" i="14"/>
  <c r="AS37" i="14"/>
  <c r="AR37" i="14"/>
  <c r="AQ37" i="14"/>
  <c r="AM37" i="14"/>
  <c r="H37" i="14"/>
  <c r="AZ36" i="14"/>
  <c r="AX36" i="14"/>
  <c r="AS36" i="14"/>
  <c r="AR36" i="14"/>
  <c r="AQ36" i="14"/>
  <c r="AM36" i="14"/>
  <c r="H36" i="14"/>
  <c r="AZ35" i="14"/>
  <c r="AX35" i="14"/>
  <c r="AS35" i="14"/>
  <c r="AR35" i="14"/>
  <c r="AQ35" i="14"/>
  <c r="AM35" i="14"/>
  <c r="H35" i="14"/>
  <c r="AZ34" i="14"/>
  <c r="AX34" i="14"/>
  <c r="AS34" i="14"/>
  <c r="AR34" i="14"/>
  <c r="AQ34" i="14"/>
  <c r="AM34" i="14"/>
  <c r="H34" i="14"/>
  <c r="AZ33" i="14"/>
  <c r="AX33" i="14"/>
  <c r="AS33" i="14"/>
  <c r="AR33" i="14"/>
  <c r="AQ33" i="14"/>
  <c r="AM33" i="14"/>
  <c r="H33" i="14"/>
  <c r="AX32" i="14"/>
  <c r="AS32" i="14"/>
  <c r="AR32" i="14"/>
  <c r="AQ32" i="14"/>
  <c r="AM32" i="14"/>
  <c r="H32" i="14"/>
  <c r="AZ31" i="14"/>
  <c r="AX31" i="14"/>
  <c r="AS31" i="14"/>
  <c r="AR31" i="14"/>
  <c r="AQ31" i="14"/>
  <c r="AM31" i="14"/>
  <c r="H31" i="14"/>
  <c r="AZ30" i="14"/>
  <c r="AX30" i="14"/>
  <c r="AS30" i="14"/>
  <c r="AR30" i="14"/>
  <c r="AQ30" i="14"/>
  <c r="AM30" i="14"/>
  <c r="H30" i="14"/>
  <c r="AZ29" i="14"/>
  <c r="AX29" i="14"/>
  <c r="AS29" i="14"/>
  <c r="AR29" i="14"/>
  <c r="AQ29" i="14"/>
  <c r="AM29" i="14"/>
  <c r="H29" i="14"/>
  <c r="AZ28" i="14"/>
  <c r="AX28" i="14"/>
  <c r="AS28" i="14"/>
  <c r="AR28" i="14"/>
  <c r="AQ28" i="14"/>
  <c r="AM28" i="14"/>
  <c r="H28" i="14"/>
  <c r="AZ27" i="14"/>
  <c r="AX27" i="14"/>
  <c r="AS27" i="14"/>
  <c r="AR27" i="14"/>
  <c r="AQ27" i="14"/>
  <c r="AM27" i="14"/>
  <c r="H27" i="14"/>
  <c r="AZ26" i="14"/>
  <c r="AX26" i="14"/>
  <c r="AS26" i="14"/>
  <c r="AR26" i="14"/>
  <c r="AQ26" i="14"/>
  <c r="AM26" i="14"/>
  <c r="H26" i="14"/>
  <c r="AZ25" i="14"/>
  <c r="AX25" i="14"/>
  <c r="AS25" i="14"/>
  <c r="AR25" i="14"/>
  <c r="AQ25" i="14"/>
  <c r="AM25" i="14"/>
  <c r="H25" i="14"/>
  <c r="AZ24" i="14"/>
  <c r="AX24" i="14"/>
  <c r="AS24" i="14"/>
  <c r="AR24" i="14"/>
  <c r="AQ24" i="14"/>
  <c r="AM24" i="14"/>
  <c r="H24" i="14"/>
  <c r="AZ23" i="14"/>
  <c r="AX23" i="14"/>
  <c r="AS23" i="14"/>
  <c r="AR23" i="14"/>
  <c r="AQ23" i="14"/>
  <c r="AM23" i="14"/>
  <c r="H23" i="14"/>
  <c r="AZ22" i="14"/>
  <c r="AX22" i="14"/>
  <c r="AS22" i="14"/>
  <c r="AR22" i="14"/>
  <c r="AQ22" i="14"/>
  <c r="AM22" i="14"/>
  <c r="H22" i="14"/>
  <c r="AX21" i="14"/>
  <c r="AS21" i="14"/>
  <c r="AR21" i="14"/>
  <c r="AQ21" i="14"/>
  <c r="AM21" i="14"/>
  <c r="H21" i="14"/>
  <c r="AZ20" i="14"/>
  <c r="AX20" i="14"/>
  <c r="AS20" i="14"/>
  <c r="AR20" i="14"/>
  <c r="AQ20" i="14"/>
  <c r="AM20" i="14"/>
  <c r="H20" i="14"/>
  <c r="AZ19" i="14"/>
  <c r="AX19" i="14"/>
  <c r="AS19" i="14"/>
  <c r="AR19" i="14"/>
  <c r="AQ19" i="14"/>
  <c r="AM19" i="14"/>
  <c r="H19" i="14"/>
  <c r="AZ18" i="14"/>
  <c r="AX18" i="14"/>
  <c r="AS18" i="14"/>
  <c r="AR18" i="14"/>
  <c r="AQ18" i="14"/>
  <c r="AM18" i="14"/>
  <c r="H18" i="14"/>
  <c r="AZ17" i="14"/>
  <c r="AX17" i="14"/>
  <c r="AS17" i="14"/>
  <c r="AR17" i="14"/>
  <c r="AQ17" i="14"/>
  <c r="AM17" i="14"/>
  <c r="H17" i="14"/>
  <c r="AZ16" i="14"/>
  <c r="AX16" i="14"/>
  <c r="AS16" i="14"/>
  <c r="AR16" i="14"/>
  <c r="AQ16" i="14"/>
  <c r="AM16" i="14"/>
  <c r="H16" i="14"/>
  <c r="AZ15" i="14"/>
  <c r="AX15" i="14"/>
  <c r="AS15" i="14"/>
  <c r="AR15" i="14"/>
  <c r="AQ15" i="14"/>
  <c r="AM15" i="14"/>
  <c r="H15" i="14"/>
  <c r="AZ14" i="14"/>
  <c r="AX14" i="14"/>
  <c r="AS14" i="14"/>
  <c r="AR14" i="14"/>
  <c r="AQ14" i="14"/>
  <c r="AM14" i="14"/>
  <c r="H14" i="14"/>
  <c r="AZ13" i="14"/>
  <c r="AX13" i="14"/>
  <c r="AS13" i="14"/>
  <c r="AR13" i="14"/>
  <c r="AQ13" i="14"/>
  <c r="AM13" i="14"/>
  <c r="H13" i="14"/>
  <c r="AM12" i="14"/>
  <c r="H12" i="14"/>
  <c r="AZ11" i="14"/>
  <c r="AX11" i="14"/>
  <c r="AS11" i="14"/>
  <c r="AR11" i="14"/>
  <c r="AQ11" i="14"/>
  <c r="AM11" i="14"/>
  <c r="H11" i="14"/>
  <c r="AS10" i="14"/>
  <c r="AR10" i="14"/>
  <c r="AQ10" i="14"/>
  <c r="AM10" i="14"/>
  <c r="H10" i="14"/>
  <c r="AZ9" i="14"/>
  <c r="AX9" i="14"/>
  <c r="AS9" i="14"/>
  <c r="AR9" i="14"/>
  <c r="AQ9" i="14"/>
  <c r="AM9" i="14"/>
  <c r="H9" i="14"/>
  <c r="AZ8" i="14"/>
  <c r="AX8" i="14"/>
  <c r="AS8" i="14"/>
  <c r="AR8" i="14"/>
  <c r="AQ8" i="14"/>
  <c r="AM8" i="14"/>
  <c r="H8" i="14"/>
  <c r="AZ7" i="14"/>
  <c r="AX7" i="14"/>
  <c r="AS7" i="14"/>
  <c r="AR7" i="14"/>
  <c r="AQ7" i="14"/>
  <c r="AM7" i="14"/>
  <c r="H7" i="14"/>
  <c r="AZ6" i="14"/>
  <c r="AX6" i="14"/>
  <c r="AS6" i="14"/>
  <c r="AR6" i="14"/>
  <c r="AQ6" i="14"/>
  <c r="H6" i="14"/>
  <c r="AJ64" i="13"/>
  <c r="X73" i="14" l="1"/>
  <c r="AC73" i="14"/>
  <c r="AB73" i="14"/>
  <c r="AG73" i="14"/>
  <c r="AF73" i="14"/>
  <c r="AE73" i="14"/>
  <c r="AD73" i="14"/>
  <c r="AA73" i="14"/>
  <c r="Z73" i="14"/>
  <c r="I73" i="14"/>
  <c r="L73" i="14"/>
  <c r="AH73" i="14"/>
  <c r="AI73" i="14"/>
  <c r="K73" i="14"/>
  <c r="J73" i="14"/>
  <c r="M73" i="14"/>
  <c r="N73" i="14"/>
  <c r="AZ68" i="14"/>
  <c r="R73" i="14"/>
  <c r="S73" i="14"/>
  <c r="T73" i="14"/>
  <c r="Q73" i="14"/>
  <c r="AO6" i="14"/>
  <c r="AX68" i="14"/>
  <c r="U73" i="14"/>
  <c r="V73" i="14"/>
  <c r="O73" i="14"/>
  <c r="P73" i="14"/>
  <c r="Y73" i="14"/>
  <c r="AJ65" i="13"/>
  <c r="AK62" i="13"/>
  <c r="AK58" i="13"/>
  <c r="U67" i="13"/>
  <c r="U69" i="13"/>
  <c r="U73" i="13" s="1"/>
  <c r="R69" i="13"/>
  <c r="R73" i="13" s="1"/>
  <c r="S69" i="13"/>
  <c r="S73" i="13" s="1"/>
  <c r="T69" i="13"/>
  <c r="V69" i="13"/>
  <c r="W69" i="13"/>
  <c r="X69" i="13"/>
  <c r="Y69" i="13"/>
  <c r="Z69" i="13"/>
  <c r="AA69" i="13"/>
  <c r="AA73" i="13" s="1"/>
  <c r="AB69" i="13"/>
  <c r="AC69" i="13"/>
  <c r="AD69" i="13"/>
  <c r="AE69" i="13"/>
  <c r="AF69" i="13"/>
  <c r="AG69" i="13"/>
  <c r="AH69" i="13"/>
  <c r="AI69" i="13"/>
  <c r="AJ69" i="13"/>
  <c r="J69" i="13"/>
  <c r="K69" i="13"/>
  <c r="L69" i="13"/>
  <c r="M69" i="13"/>
  <c r="N69" i="13"/>
  <c r="O69" i="13"/>
  <c r="P69" i="13"/>
  <c r="Q69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T68" i="13"/>
  <c r="T67" i="13"/>
  <c r="Z67" i="13"/>
  <c r="S67" i="13"/>
  <c r="V67" i="13"/>
  <c r="W67" i="13"/>
  <c r="AA67" i="13"/>
  <c r="AB67" i="13"/>
  <c r="AC67" i="13"/>
  <c r="AD67" i="13"/>
  <c r="AE67" i="13"/>
  <c r="AF67" i="13"/>
  <c r="AG67" i="13"/>
  <c r="AH67" i="13"/>
  <c r="AI67" i="13"/>
  <c r="R67" i="13"/>
  <c r="S64" i="13"/>
  <c r="Z64" i="13"/>
  <c r="AC64" i="13"/>
  <c r="H12" i="13"/>
  <c r="H8" i="13"/>
  <c r="H62" i="13"/>
  <c r="H7" i="13"/>
  <c r="H9" i="13"/>
  <c r="H10" i="13"/>
  <c r="H11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3" i="13"/>
  <c r="H6" i="13"/>
  <c r="V64" i="13"/>
  <c r="R72" i="13"/>
  <c r="R70" i="13"/>
  <c r="R64" i="13"/>
  <c r="AJ67" i="13"/>
  <c r="R74" i="13" l="1"/>
  <c r="U74" i="13"/>
  <c r="K67" i="13"/>
  <c r="L67" i="13"/>
  <c r="M67" i="13"/>
  <c r="N67" i="13"/>
  <c r="O67" i="13"/>
  <c r="P67" i="13"/>
  <c r="Q67" i="13"/>
  <c r="J67" i="13"/>
  <c r="J68" i="13"/>
  <c r="J73" i="13"/>
  <c r="P65" i="13"/>
  <c r="O64" i="13"/>
  <c r="J74" i="13" l="1"/>
  <c r="U66" i="13"/>
  <c r="V66" i="13"/>
  <c r="AB66" i="13"/>
  <c r="AC66" i="13"/>
  <c r="AI66" i="13"/>
  <c r="AJ66" i="13"/>
  <c r="I67" i="13"/>
  <c r="I68" i="13"/>
  <c r="K68" i="13"/>
  <c r="L68" i="13"/>
  <c r="M68" i="13"/>
  <c r="N68" i="13"/>
  <c r="O68" i="13"/>
  <c r="P68" i="13"/>
  <c r="Q68" i="13"/>
  <c r="AJ68" i="13"/>
  <c r="I69" i="13"/>
  <c r="I73" i="13" s="1"/>
  <c r="K73" i="13"/>
  <c r="K74" i="13" s="1"/>
  <c r="L73" i="13"/>
  <c r="L74" i="13" s="1"/>
  <c r="M73" i="13"/>
  <c r="M74" i="13" s="1"/>
  <c r="N73" i="13"/>
  <c r="N74" i="13" s="1"/>
  <c r="O73" i="13"/>
  <c r="O74" i="13" s="1"/>
  <c r="P73" i="13"/>
  <c r="P74" i="13" s="1"/>
  <c r="Q73" i="13"/>
  <c r="Q74" i="13" s="1"/>
  <c r="S74" i="13"/>
  <c r="T73" i="13"/>
  <c r="T74" i="13" s="1"/>
  <c r="V73" i="13"/>
  <c r="V74" i="13" s="1"/>
  <c r="X73" i="13"/>
  <c r="X74" i="13" s="1"/>
  <c r="Y73" i="13"/>
  <c r="Y74" i="13" s="1"/>
  <c r="Z73" i="13"/>
  <c r="Z74" i="13" s="1"/>
  <c r="AA74" i="13"/>
  <c r="AB73" i="13"/>
  <c r="AB74" i="13" s="1"/>
  <c r="AC73" i="13"/>
  <c r="AC74" i="13" s="1"/>
  <c r="AD73" i="13"/>
  <c r="AD74" i="13" s="1"/>
  <c r="AE73" i="13"/>
  <c r="AE74" i="13" s="1"/>
  <c r="AF73" i="13"/>
  <c r="AF74" i="13" s="1"/>
  <c r="AG73" i="13"/>
  <c r="AG74" i="13" s="1"/>
  <c r="AH73" i="13"/>
  <c r="AH74" i="13" s="1"/>
  <c r="AI73" i="13"/>
  <c r="AI74" i="13" s="1"/>
  <c r="AJ73" i="13"/>
  <c r="AJ74" i="13" s="1"/>
  <c r="AS69" i="13"/>
  <c r="AT69" i="13"/>
  <c r="I70" i="13"/>
  <c r="J70" i="13"/>
  <c r="K70" i="13"/>
  <c r="L70" i="13"/>
  <c r="M70" i="13"/>
  <c r="N70" i="13"/>
  <c r="O70" i="13"/>
  <c r="P70" i="13"/>
  <c r="Q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I72" i="13"/>
  <c r="J72" i="13"/>
  <c r="K72" i="13"/>
  <c r="L72" i="13"/>
  <c r="M72" i="13"/>
  <c r="N72" i="13"/>
  <c r="O72" i="13"/>
  <c r="P72" i="13"/>
  <c r="Q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W73" i="13"/>
  <c r="W74" i="13" s="1"/>
  <c r="AK6" i="13"/>
  <c r="AL6" i="13"/>
  <c r="AO6" i="13"/>
  <c r="AP6" i="13"/>
  <c r="AQ6" i="13"/>
  <c r="AV6" i="13"/>
  <c r="AX6" i="13"/>
  <c r="AK7" i="13"/>
  <c r="AL7" i="13"/>
  <c r="AO7" i="13"/>
  <c r="AP7" i="13"/>
  <c r="AQ7" i="13"/>
  <c r="AV7" i="13"/>
  <c r="AX7" i="13"/>
  <c r="AK8" i="13"/>
  <c r="AL8" i="13"/>
  <c r="AO8" i="13"/>
  <c r="AP8" i="13"/>
  <c r="AQ8" i="13"/>
  <c r="AV8" i="13"/>
  <c r="AX8" i="13"/>
  <c r="AK9" i="13"/>
  <c r="AL9" i="13"/>
  <c r="AO9" i="13"/>
  <c r="AP9" i="13"/>
  <c r="AQ9" i="13"/>
  <c r="AV9" i="13"/>
  <c r="AX9" i="13"/>
  <c r="AK10" i="13"/>
  <c r="AL10" i="13"/>
  <c r="AO10" i="13"/>
  <c r="AP10" i="13"/>
  <c r="AQ10" i="13"/>
  <c r="AK11" i="13"/>
  <c r="AL11" i="13"/>
  <c r="AO11" i="13"/>
  <c r="AP11" i="13"/>
  <c r="AQ11" i="13"/>
  <c r="AV11" i="13"/>
  <c r="AX11" i="13"/>
  <c r="AK12" i="13"/>
  <c r="AL12" i="13"/>
  <c r="AK13" i="13"/>
  <c r="AL13" i="13"/>
  <c r="AO13" i="13"/>
  <c r="AP13" i="13"/>
  <c r="AQ13" i="13"/>
  <c r="AV13" i="13"/>
  <c r="AX13" i="13"/>
  <c r="AK14" i="13"/>
  <c r="AL14" i="13"/>
  <c r="AO14" i="13"/>
  <c r="AP14" i="13"/>
  <c r="AQ14" i="13"/>
  <c r="AV14" i="13"/>
  <c r="AX14" i="13"/>
  <c r="AK15" i="13"/>
  <c r="AL15" i="13"/>
  <c r="AO15" i="13"/>
  <c r="AP15" i="13"/>
  <c r="AQ15" i="13"/>
  <c r="AV15" i="13"/>
  <c r="AX15" i="13"/>
  <c r="AK16" i="13"/>
  <c r="AL16" i="13"/>
  <c r="AO16" i="13"/>
  <c r="AP16" i="13"/>
  <c r="AQ16" i="13"/>
  <c r="AV16" i="13"/>
  <c r="AX16" i="13"/>
  <c r="AK17" i="13"/>
  <c r="AL17" i="13"/>
  <c r="AO17" i="13"/>
  <c r="AP17" i="13"/>
  <c r="AQ17" i="13"/>
  <c r="AV17" i="13"/>
  <c r="AX17" i="13"/>
  <c r="AK18" i="13"/>
  <c r="AL18" i="13"/>
  <c r="AO18" i="13"/>
  <c r="AP18" i="13"/>
  <c r="AQ18" i="13"/>
  <c r="AV18" i="13"/>
  <c r="AX18" i="13"/>
  <c r="AK19" i="13"/>
  <c r="AL19" i="13"/>
  <c r="AO19" i="13"/>
  <c r="AP19" i="13"/>
  <c r="AQ19" i="13"/>
  <c r="AV19" i="13"/>
  <c r="AX19" i="13"/>
  <c r="AK20" i="13"/>
  <c r="AL20" i="13"/>
  <c r="AO20" i="13"/>
  <c r="AP20" i="13"/>
  <c r="AQ20" i="13"/>
  <c r="AV20" i="13"/>
  <c r="AX20" i="13"/>
  <c r="AK21" i="13"/>
  <c r="AL21" i="13"/>
  <c r="AO21" i="13"/>
  <c r="AP21" i="13"/>
  <c r="AQ21" i="13"/>
  <c r="AV21" i="13"/>
  <c r="AK22" i="13"/>
  <c r="AL22" i="13"/>
  <c r="AO22" i="13"/>
  <c r="AP22" i="13"/>
  <c r="AQ22" i="13"/>
  <c r="AV22" i="13"/>
  <c r="AX22" i="13"/>
  <c r="AK23" i="13"/>
  <c r="AL23" i="13"/>
  <c r="AO23" i="13"/>
  <c r="AP23" i="13"/>
  <c r="AQ23" i="13"/>
  <c r="AV23" i="13"/>
  <c r="AX23" i="13"/>
  <c r="AK24" i="13"/>
  <c r="AL24" i="13"/>
  <c r="AO24" i="13"/>
  <c r="AP24" i="13"/>
  <c r="AQ24" i="13"/>
  <c r="AV24" i="13"/>
  <c r="AX24" i="13"/>
  <c r="AK25" i="13"/>
  <c r="AL25" i="13"/>
  <c r="AO25" i="13"/>
  <c r="AP25" i="13"/>
  <c r="AQ25" i="13"/>
  <c r="AV25" i="13"/>
  <c r="AX25" i="13"/>
  <c r="AK26" i="13"/>
  <c r="AL26" i="13"/>
  <c r="AM26" i="13" s="1"/>
  <c r="AO26" i="13"/>
  <c r="AP26" i="13"/>
  <c r="AQ26" i="13"/>
  <c r="AV26" i="13"/>
  <c r="AX26" i="13"/>
  <c r="AK27" i="13"/>
  <c r="AL27" i="13"/>
  <c r="AO27" i="13"/>
  <c r="AP27" i="13"/>
  <c r="AQ27" i="13"/>
  <c r="AV27" i="13"/>
  <c r="AX27" i="13"/>
  <c r="AK28" i="13"/>
  <c r="AL28" i="13"/>
  <c r="AO28" i="13"/>
  <c r="AP28" i="13"/>
  <c r="AQ28" i="13"/>
  <c r="AV28" i="13"/>
  <c r="AX28" i="13"/>
  <c r="AK29" i="13"/>
  <c r="AL29" i="13"/>
  <c r="AO29" i="13"/>
  <c r="AP29" i="13"/>
  <c r="AQ29" i="13"/>
  <c r="AV29" i="13"/>
  <c r="AX29" i="13"/>
  <c r="AK30" i="13"/>
  <c r="AL30" i="13"/>
  <c r="AO30" i="13"/>
  <c r="AP30" i="13"/>
  <c r="AQ30" i="13"/>
  <c r="AV30" i="13"/>
  <c r="AX30" i="13"/>
  <c r="AK31" i="13"/>
  <c r="AL31" i="13"/>
  <c r="AO31" i="13"/>
  <c r="AP31" i="13"/>
  <c r="AQ31" i="13"/>
  <c r="AV31" i="13"/>
  <c r="AX31" i="13"/>
  <c r="AK32" i="13"/>
  <c r="AL32" i="13"/>
  <c r="AO32" i="13"/>
  <c r="AP32" i="13"/>
  <c r="AQ32" i="13"/>
  <c r="AV32" i="13"/>
  <c r="AK33" i="13"/>
  <c r="AL33" i="13"/>
  <c r="AO33" i="13"/>
  <c r="AP33" i="13"/>
  <c r="AQ33" i="13"/>
  <c r="AV33" i="13"/>
  <c r="AX33" i="13"/>
  <c r="AK34" i="13"/>
  <c r="AL34" i="13"/>
  <c r="AM34" i="13" s="1"/>
  <c r="AO34" i="13"/>
  <c r="AP34" i="13"/>
  <c r="AQ34" i="13"/>
  <c r="AV34" i="13"/>
  <c r="AX34" i="13"/>
  <c r="AK35" i="13"/>
  <c r="AL35" i="13"/>
  <c r="AO35" i="13"/>
  <c r="AP35" i="13"/>
  <c r="AQ35" i="13"/>
  <c r="AV35" i="13"/>
  <c r="AX35" i="13"/>
  <c r="AK36" i="13"/>
  <c r="AL36" i="13"/>
  <c r="AO36" i="13"/>
  <c r="AP36" i="13"/>
  <c r="AQ36" i="13"/>
  <c r="AV36" i="13"/>
  <c r="AX36" i="13"/>
  <c r="AK37" i="13"/>
  <c r="AL37" i="13"/>
  <c r="AO37" i="13"/>
  <c r="AP37" i="13"/>
  <c r="AQ37" i="13"/>
  <c r="AV37" i="13"/>
  <c r="AK38" i="13"/>
  <c r="AL38" i="13"/>
  <c r="AO38" i="13"/>
  <c r="AP38" i="13"/>
  <c r="AQ38" i="13"/>
  <c r="AK39" i="13"/>
  <c r="AL39" i="13"/>
  <c r="AO39" i="13"/>
  <c r="AP39" i="13"/>
  <c r="AQ39" i="13"/>
  <c r="AK40" i="13"/>
  <c r="AL40" i="13"/>
  <c r="AO40" i="13"/>
  <c r="AP40" i="13"/>
  <c r="AQ40" i="13"/>
  <c r="AV40" i="13"/>
  <c r="AK41" i="13"/>
  <c r="AL41" i="13"/>
  <c r="AM41" i="13" s="1"/>
  <c r="AO41" i="13"/>
  <c r="AP41" i="13"/>
  <c r="AQ41" i="13"/>
  <c r="AV41" i="13"/>
  <c r="AX41" i="13"/>
  <c r="AK42" i="13"/>
  <c r="AL42" i="13"/>
  <c r="AO42" i="13"/>
  <c r="AP42" i="13"/>
  <c r="AQ42" i="13"/>
  <c r="AV42" i="13"/>
  <c r="AX42" i="13"/>
  <c r="AK43" i="13"/>
  <c r="AL43" i="13"/>
  <c r="AO43" i="13"/>
  <c r="AP43" i="13"/>
  <c r="AQ43" i="13"/>
  <c r="AV43" i="13"/>
  <c r="AX43" i="13"/>
  <c r="AK44" i="13"/>
  <c r="AL44" i="13"/>
  <c r="AO44" i="13"/>
  <c r="AP44" i="13"/>
  <c r="AQ44" i="13"/>
  <c r="AV44" i="13"/>
  <c r="AX44" i="13"/>
  <c r="AK45" i="13"/>
  <c r="AL45" i="13"/>
  <c r="AO45" i="13"/>
  <c r="AP45" i="13"/>
  <c r="AV45" i="13"/>
  <c r="AX45" i="13"/>
  <c r="AK46" i="13"/>
  <c r="AL46" i="13"/>
  <c r="AO46" i="13"/>
  <c r="AP46" i="13"/>
  <c r="AQ46" i="13"/>
  <c r="AV46" i="13"/>
  <c r="AK47" i="13"/>
  <c r="AL47" i="13"/>
  <c r="AM47" i="13" s="1"/>
  <c r="AO47" i="13"/>
  <c r="AP47" i="13"/>
  <c r="AQ47" i="13"/>
  <c r="AX47" i="13"/>
  <c r="AK48" i="13"/>
  <c r="AL48" i="13"/>
  <c r="AK49" i="13"/>
  <c r="AL49" i="13"/>
  <c r="AM49" i="13" s="1"/>
  <c r="AK50" i="13"/>
  <c r="AL50" i="13"/>
  <c r="AK51" i="13"/>
  <c r="AL51" i="13"/>
  <c r="AK52" i="13"/>
  <c r="AL52" i="13"/>
  <c r="AK53" i="13"/>
  <c r="AL53" i="13"/>
  <c r="AK54" i="13"/>
  <c r="AL54" i="13"/>
  <c r="AM54" i="13" s="1"/>
  <c r="AK55" i="13"/>
  <c r="AL55" i="13"/>
  <c r="AK56" i="13"/>
  <c r="AL56" i="13"/>
  <c r="AL57" i="13"/>
  <c r="AK57" i="13"/>
  <c r="AO57" i="13"/>
  <c r="AP57" i="13"/>
  <c r="AK59" i="13"/>
  <c r="AL59" i="13"/>
  <c r="AO59" i="13"/>
  <c r="AP59" i="13"/>
  <c r="AQ59" i="13"/>
  <c r="AV59" i="13"/>
  <c r="AX59" i="13"/>
  <c r="AK60" i="13"/>
  <c r="AL60" i="13"/>
  <c r="AO60" i="13"/>
  <c r="AP60" i="13"/>
  <c r="AQ60" i="13"/>
  <c r="AV60" i="13"/>
  <c r="AX60" i="13"/>
  <c r="AK61" i="13"/>
  <c r="AL61" i="13"/>
  <c r="AO61" i="13"/>
  <c r="AP61" i="13"/>
  <c r="AQ61" i="13"/>
  <c r="AV61" i="13"/>
  <c r="AX61" i="13"/>
  <c r="AK63" i="13"/>
  <c r="AL63" i="13"/>
  <c r="AM63" i="13" s="1"/>
  <c r="AO63" i="13"/>
  <c r="AP63" i="13"/>
  <c r="AQ63" i="13"/>
  <c r="AV63" i="13"/>
  <c r="AX63" i="13"/>
  <c r="Y64" i="13"/>
  <c r="AF64" i="13"/>
  <c r="AG64" i="13"/>
  <c r="U70" i="12"/>
  <c r="V70" i="12"/>
  <c r="W70" i="12"/>
  <c r="X70" i="12"/>
  <c r="AA70" i="12"/>
  <c r="AB70" i="12"/>
  <c r="AC70" i="12"/>
  <c r="AD70" i="12"/>
  <c r="AE70" i="12"/>
  <c r="AH70" i="12"/>
  <c r="AI70" i="12"/>
  <c r="AJ70" i="12"/>
  <c r="AK70" i="12"/>
  <c r="AL70" i="12"/>
  <c r="T70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AJ72" i="12"/>
  <c r="AK72" i="12"/>
  <c r="AL72" i="12"/>
  <c r="P72" i="12"/>
  <c r="Q69" i="12"/>
  <c r="P69" i="12"/>
  <c r="G59" i="12"/>
  <c r="H59" i="12"/>
  <c r="R66" i="12"/>
  <c r="AM51" i="13" l="1"/>
  <c r="AM38" i="13"/>
  <c r="AM14" i="13"/>
  <c r="AM7" i="13"/>
  <c r="AM13" i="13"/>
  <c r="AM30" i="13"/>
  <c r="AM27" i="13"/>
  <c r="AM36" i="13"/>
  <c r="AM33" i="13"/>
  <c r="AM24" i="13"/>
  <c r="AM22" i="13"/>
  <c r="AM55" i="13"/>
  <c r="AM16" i="13"/>
  <c r="AM11" i="13"/>
  <c r="AM35" i="13"/>
  <c r="AM20" i="13"/>
  <c r="AM19" i="13"/>
  <c r="AM10" i="13"/>
  <c r="AM60" i="13"/>
  <c r="AM45" i="13"/>
  <c r="AM37" i="13"/>
  <c r="AM43" i="13"/>
  <c r="AM31" i="13"/>
  <c r="AM6" i="13"/>
  <c r="AM50" i="13"/>
  <c r="AM18" i="13"/>
  <c r="AM32" i="13"/>
  <c r="AM42" i="13"/>
  <c r="AM46" i="13"/>
  <c r="AM21" i="13"/>
  <c r="AM15" i="13"/>
  <c r="AM59" i="13"/>
  <c r="AM8" i="13"/>
  <c r="AM12" i="13"/>
  <c r="AM56" i="13"/>
  <c r="AM52" i="13"/>
  <c r="AM57" i="13"/>
  <c r="I74" i="13"/>
  <c r="AM53" i="13"/>
  <c r="AM28" i="13"/>
  <c r="AM23" i="13"/>
  <c r="AM44" i="13"/>
  <c r="AM40" i="13"/>
  <c r="AM25" i="13"/>
  <c r="AM17" i="13"/>
  <c r="AM9" i="13"/>
  <c r="AM39" i="13"/>
  <c r="AM61" i="13"/>
  <c r="AX69" i="13"/>
  <c r="AM48" i="13"/>
  <c r="AM29" i="13"/>
  <c r="AV69" i="13"/>
  <c r="AK71" i="12" l="1"/>
  <c r="AJ71" i="12"/>
  <c r="AI71" i="12"/>
  <c r="AH71" i="12"/>
  <c r="I71" i="12"/>
  <c r="I75" i="12" s="1"/>
  <c r="Z74" i="12"/>
  <c r="T69" i="12"/>
  <c r="AN59" i="12"/>
  <c r="AM66" i="12"/>
  <c r="S66" i="12"/>
  <c r="AG66" i="12"/>
  <c r="AF66" i="12"/>
  <c r="Z66" i="12"/>
  <c r="Y66" i="12"/>
  <c r="J69" i="12" l="1"/>
  <c r="K69" i="12"/>
  <c r="L69" i="12"/>
  <c r="M69" i="12"/>
  <c r="R69" i="12"/>
  <c r="S69" i="12"/>
  <c r="Y69" i="12"/>
  <c r="Z69" i="12"/>
  <c r="AF69" i="12"/>
  <c r="AG69" i="12"/>
  <c r="AM69" i="12"/>
  <c r="I69" i="12"/>
  <c r="T71" i="12"/>
  <c r="T75" i="12" s="1"/>
  <c r="T76" i="12" s="1"/>
  <c r="AS59" i="12"/>
  <c r="AR59" i="12"/>
  <c r="T74" i="12"/>
  <c r="I70" i="12"/>
  <c r="G6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65" i="12"/>
  <c r="G41" i="12"/>
  <c r="G42" i="12"/>
  <c r="G40" i="12"/>
  <c r="G39" i="12"/>
  <c r="G33" i="12"/>
  <c r="G34" i="12"/>
  <c r="G35" i="12"/>
  <c r="G36" i="12"/>
  <c r="G37" i="12"/>
  <c r="G38" i="12"/>
  <c r="G32" i="12"/>
  <c r="G31" i="12"/>
  <c r="G23" i="12"/>
  <c r="G24" i="12"/>
  <c r="G25" i="12"/>
  <c r="G26" i="12"/>
  <c r="G27" i="12"/>
  <c r="G28" i="12"/>
  <c r="G29" i="12"/>
  <c r="G30" i="12"/>
  <c r="G62" i="12"/>
  <c r="G22" i="12"/>
  <c r="G14" i="12"/>
  <c r="G15" i="12"/>
  <c r="G16" i="12"/>
  <c r="G17" i="12"/>
  <c r="G18" i="12"/>
  <c r="G61" i="12"/>
  <c r="G63" i="12"/>
  <c r="G64" i="12"/>
  <c r="G19" i="12"/>
  <c r="G20" i="12"/>
  <c r="G21" i="12"/>
  <c r="G13" i="12"/>
  <c r="G12" i="12"/>
  <c r="G11" i="12"/>
  <c r="G10" i="12"/>
  <c r="G9" i="12"/>
  <c r="G8" i="12"/>
  <c r="G7" i="12"/>
  <c r="AM72" i="12"/>
  <c r="I72" i="12"/>
  <c r="J72" i="12"/>
  <c r="K72" i="12"/>
  <c r="L72" i="12"/>
  <c r="M72" i="12"/>
  <c r="N72" i="12"/>
  <c r="O72" i="12"/>
  <c r="AO56" i="12"/>
  <c r="AO57" i="12"/>
  <c r="AN57" i="12"/>
  <c r="AN56" i="12"/>
  <c r="AO38" i="12"/>
  <c r="AO39" i="12"/>
  <c r="AO11" i="12"/>
  <c r="AJ68" i="12"/>
  <c r="AI68" i="12"/>
  <c r="AC68" i="12"/>
  <c r="AB68" i="12"/>
  <c r="V68" i="12"/>
  <c r="U68" i="12"/>
  <c r="O59" i="12"/>
  <c r="O69" i="12" s="1"/>
  <c r="N59" i="12"/>
  <c r="N70" i="12"/>
  <c r="N69" i="12" l="1"/>
  <c r="AO59" i="12"/>
  <c r="AP59" i="12" s="1"/>
  <c r="AP57" i="12"/>
  <c r="AP56" i="12"/>
  <c r="H20" i="12" l="1"/>
  <c r="H21" i="12"/>
  <c r="H62" i="12"/>
  <c r="H23" i="12"/>
  <c r="H24" i="12"/>
  <c r="H46" i="12"/>
  <c r="H47" i="12"/>
  <c r="H58" i="12"/>
  <c r="H57" i="12"/>
  <c r="H56" i="12"/>
  <c r="H55" i="12"/>
  <c r="H54" i="12"/>
  <c r="H53" i="12"/>
  <c r="H52" i="12"/>
  <c r="H51" i="12"/>
  <c r="H50" i="12"/>
  <c r="H49" i="12"/>
  <c r="H48" i="12"/>
  <c r="H43" i="12"/>
  <c r="H39" i="12"/>
  <c r="H31" i="12"/>
  <c r="H22" i="12"/>
  <c r="H12" i="12"/>
  <c r="H8" i="12"/>
  <c r="H6" i="12"/>
  <c r="H7" i="12"/>
  <c r="H9" i="12"/>
  <c r="H10" i="12"/>
  <c r="H11" i="12"/>
  <c r="H13" i="12"/>
  <c r="H14" i="12"/>
  <c r="H15" i="12"/>
  <c r="H16" i="12"/>
  <c r="H17" i="12"/>
  <c r="H18" i="12"/>
  <c r="H61" i="12"/>
  <c r="H63" i="12"/>
  <c r="H64" i="12"/>
  <c r="H19" i="12"/>
  <c r="H25" i="12"/>
  <c r="H26" i="12"/>
  <c r="H27" i="12"/>
  <c r="H28" i="12"/>
  <c r="H29" i="12"/>
  <c r="H30" i="12"/>
  <c r="H32" i="12"/>
  <c r="H33" i="12"/>
  <c r="H34" i="12"/>
  <c r="H35" i="12"/>
  <c r="H36" i="12"/>
  <c r="H37" i="12"/>
  <c r="H38" i="12"/>
  <c r="H40" i="12"/>
  <c r="H65" i="12"/>
  <c r="H41" i="12"/>
  <c r="H42" i="12"/>
  <c r="H44" i="12"/>
  <c r="H45" i="12"/>
  <c r="J71" i="12"/>
  <c r="K71" i="12"/>
  <c r="L71" i="12"/>
  <c r="M71" i="12"/>
  <c r="N71" i="12"/>
  <c r="O71" i="12"/>
  <c r="P71" i="12"/>
  <c r="Q71" i="12"/>
  <c r="R71" i="12"/>
  <c r="S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L71" i="12"/>
  <c r="AM71" i="12"/>
  <c r="J74" i="12"/>
  <c r="K74" i="12"/>
  <c r="L74" i="12"/>
  <c r="M74" i="12"/>
  <c r="N74" i="12"/>
  <c r="O74" i="12"/>
  <c r="P74" i="12"/>
  <c r="Q74" i="12"/>
  <c r="R74" i="12"/>
  <c r="S74" i="12"/>
  <c r="U74" i="12"/>
  <c r="V74" i="12"/>
  <c r="W74" i="12"/>
  <c r="X74" i="12"/>
  <c r="Y74" i="12"/>
  <c r="AA74" i="12"/>
  <c r="AB74" i="12"/>
  <c r="AC74" i="12"/>
  <c r="AD74" i="12"/>
  <c r="AE74" i="12"/>
  <c r="AF74" i="12"/>
  <c r="AG74" i="12"/>
  <c r="AH74" i="12"/>
  <c r="AI74" i="12"/>
  <c r="AJ74" i="12"/>
  <c r="AK74" i="12"/>
  <c r="AL74" i="12"/>
  <c r="AM74" i="12"/>
  <c r="I74" i="12"/>
  <c r="I76" i="12" l="1"/>
  <c r="J70" i="12"/>
  <c r="K70" i="12"/>
  <c r="L70" i="12"/>
  <c r="M70" i="12"/>
  <c r="O70" i="12"/>
  <c r="P70" i="12"/>
  <c r="Q70" i="12"/>
  <c r="AM70" i="12"/>
  <c r="J75" i="12"/>
  <c r="K75" i="12"/>
  <c r="L75" i="12"/>
  <c r="M75" i="12"/>
  <c r="N75" i="12"/>
  <c r="N76" i="12" s="1"/>
  <c r="O75" i="12"/>
  <c r="P75" i="12"/>
  <c r="Q75" i="12"/>
  <c r="R75" i="12"/>
  <c r="S75" i="12"/>
  <c r="U75" i="12"/>
  <c r="U76" i="12" s="1"/>
  <c r="V75" i="12"/>
  <c r="V76" i="12" s="1"/>
  <c r="W75" i="12"/>
  <c r="W76" i="12" s="1"/>
  <c r="X75" i="12"/>
  <c r="X76" i="12" s="1"/>
  <c r="Y75" i="12"/>
  <c r="Y76" i="12" s="1"/>
  <c r="Z75" i="12"/>
  <c r="Z76" i="12" s="1"/>
  <c r="AA75" i="12"/>
  <c r="AA76" i="12" s="1"/>
  <c r="AB75" i="12"/>
  <c r="AB76" i="12" s="1"/>
  <c r="AC75" i="12"/>
  <c r="AC76" i="12" s="1"/>
  <c r="AD75" i="12"/>
  <c r="AD76" i="12" s="1"/>
  <c r="AE75" i="12"/>
  <c r="AE76" i="12" s="1"/>
  <c r="AF75" i="12"/>
  <c r="AF76" i="12" s="1"/>
  <c r="AG75" i="12"/>
  <c r="AG76" i="12" s="1"/>
  <c r="AH75" i="12"/>
  <c r="AH76" i="12" s="1"/>
  <c r="AI75" i="12"/>
  <c r="AI76" i="12" s="1"/>
  <c r="AJ75" i="12"/>
  <c r="AJ76" i="12" s="1"/>
  <c r="AK75" i="12"/>
  <c r="AK76" i="12" s="1"/>
  <c r="AL75" i="12"/>
  <c r="AL76" i="12" s="1"/>
  <c r="AM75" i="12"/>
  <c r="AM76" i="12" s="1"/>
  <c r="AO13" i="12"/>
  <c r="AN58" i="12"/>
  <c r="AN55" i="12"/>
  <c r="AN54" i="12"/>
  <c r="AN53" i="12"/>
  <c r="AN52" i="12"/>
  <c r="AN51" i="12"/>
  <c r="AN50" i="12"/>
  <c r="AN49" i="12"/>
  <c r="AN48" i="12"/>
  <c r="AN47" i="12"/>
  <c r="AN46" i="12"/>
  <c r="AN45" i="12"/>
  <c r="AN44" i="12"/>
  <c r="AN43" i="12"/>
  <c r="AN42" i="12"/>
  <c r="AN41" i="12"/>
  <c r="AN65" i="12"/>
  <c r="AN40" i="12"/>
  <c r="AN39" i="12"/>
  <c r="AN38" i="12"/>
  <c r="AN37" i="12"/>
  <c r="AN36" i="12"/>
  <c r="AN35" i="12"/>
  <c r="AN34" i="12"/>
  <c r="AN33" i="12"/>
  <c r="AN32" i="12"/>
  <c r="AN31" i="12"/>
  <c r="AN30" i="12"/>
  <c r="AN29" i="12"/>
  <c r="AN28" i="12"/>
  <c r="AN27" i="12"/>
  <c r="AN26" i="12"/>
  <c r="AN25" i="12"/>
  <c r="AN24" i="12"/>
  <c r="AN23" i="12"/>
  <c r="AN62" i="12"/>
  <c r="AN22" i="12"/>
  <c r="AN21" i="12"/>
  <c r="AN20" i="12"/>
  <c r="AN19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61" i="12"/>
  <c r="AN63" i="12"/>
  <c r="AN64" i="12"/>
  <c r="AN6" i="12"/>
  <c r="AO58" i="12"/>
  <c r="AO55" i="12"/>
  <c r="AO54" i="12"/>
  <c r="AO53" i="12"/>
  <c r="AO52" i="12"/>
  <c r="AO51" i="12"/>
  <c r="AO50" i="12"/>
  <c r="AO49" i="12"/>
  <c r="AO48" i="12"/>
  <c r="AO47" i="12"/>
  <c r="AO46" i="12"/>
  <c r="AO45" i="12"/>
  <c r="AO44" i="12"/>
  <c r="AO43" i="12"/>
  <c r="AO42" i="12"/>
  <c r="AO41" i="12"/>
  <c r="AO65" i="12"/>
  <c r="AO40" i="12"/>
  <c r="AO37" i="12"/>
  <c r="AO36" i="12"/>
  <c r="AO35" i="12"/>
  <c r="AO34" i="12"/>
  <c r="AO33" i="12"/>
  <c r="AO32" i="12"/>
  <c r="AO31" i="12"/>
  <c r="AO30" i="12"/>
  <c r="AO29" i="12"/>
  <c r="AO28" i="12"/>
  <c r="AO27" i="12"/>
  <c r="AO26" i="12"/>
  <c r="AO25" i="12"/>
  <c r="AO24" i="12"/>
  <c r="AO23" i="12"/>
  <c r="AO62" i="12"/>
  <c r="AO22" i="12"/>
  <c r="AO21" i="12"/>
  <c r="AO20" i="12"/>
  <c r="AO19" i="12"/>
  <c r="AO64" i="12"/>
  <c r="AO63" i="12"/>
  <c r="AO61" i="12"/>
  <c r="AO18" i="12"/>
  <c r="AO17" i="12"/>
  <c r="AO16" i="12"/>
  <c r="AO15" i="12"/>
  <c r="AO14" i="12"/>
  <c r="AO12" i="12"/>
  <c r="AO10" i="12"/>
  <c r="AO9" i="12"/>
  <c r="AO8" i="12"/>
  <c r="AO7" i="12"/>
  <c r="AO6" i="12"/>
  <c r="AW71" i="12"/>
  <c r="AV71" i="12"/>
  <c r="BA47" i="12"/>
  <c r="AT47" i="12"/>
  <c r="AS47" i="12"/>
  <c r="AR47" i="12"/>
  <c r="AY46" i="12"/>
  <c r="AT46" i="12"/>
  <c r="AS46" i="12"/>
  <c r="AR46" i="12"/>
  <c r="BA45" i="12"/>
  <c r="AY45" i="12"/>
  <c r="AS45" i="12"/>
  <c r="AR45" i="12"/>
  <c r="BA44" i="12"/>
  <c r="AY44" i="12"/>
  <c r="AT44" i="12"/>
  <c r="AS44" i="12"/>
  <c r="AR44" i="12"/>
  <c r="BA43" i="12"/>
  <c r="AY43" i="12"/>
  <c r="AT43" i="12"/>
  <c r="AS43" i="12"/>
  <c r="AR43" i="12"/>
  <c r="BA42" i="12"/>
  <c r="AY42" i="12"/>
  <c r="AT42" i="12"/>
  <c r="AS42" i="12"/>
  <c r="AR42" i="12"/>
  <c r="BA41" i="12"/>
  <c r="AY41" i="12"/>
  <c r="AT41" i="12"/>
  <c r="AS41" i="12"/>
  <c r="AR41" i="12"/>
  <c r="BA65" i="12"/>
  <c r="AY65" i="12"/>
  <c r="AT65" i="12"/>
  <c r="AS65" i="12"/>
  <c r="AR65" i="12"/>
  <c r="AY40" i="12"/>
  <c r="AT40" i="12"/>
  <c r="AS40" i="12"/>
  <c r="AR40" i="12"/>
  <c r="AT39" i="12"/>
  <c r="AS39" i="12"/>
  <c r="AR39" i="12"/>
  <c r="AT38" i="12"/>
  <c r="AS38" i="12"/>
  <c r="AR38" i="12"/>
  <c r="AY37" i="12"/>
  <c r="AT37" i="12"/>
  <c r="AS37" i="12"/>
  <c r="AR37" i="12"/>
  <c r="BA36" i="12"/>
  <c r="AY36" i="12"/>
  <c r="AT36" i="12"/>
  <c r="AS36" i="12"/>
  <c r="AR36" i="12"/>
  <c r="BA35" i="12"/>
  <c r="AY35" i="12"/>
  <c r="AT35" i="12"/>
  <c r="AS35" i="12"/>
  <c r="AR35" i="12"/>
  <c r="BA34" i="12"/>
  <c r="AY34" i="12"/>
  <c r="AT34" i="12"/>
  <c r="AS34" i="12"/>
  <c r="AR34" i="12"/>
  <c r="BA33" i="12"/>
  <c r="AY33" i="12"/>
  <c r="AT33" i="12"/>
  <c r="AS33" i="12"/>
  <c r="AR33" i="12"/>
  <c r="AY32" i="12"/>
  <c r="AT32" i="12"/>
  <c r="AS32" i="12"/>
  <c r="AR32" i="12"/>
  <c r="BA31" i="12"/>
  <c r="AY31" i="12"/>
  <c r="AT31" i="12"/>
  <c r="AS31" i="12"/>
  <c r="AR31" i="12"/>
  <c r="BA30" i="12"/>
  <c r="AY30" i="12"/>
  <c r="AT30" i="12"/>
  <c r="AS30" i="12"/>
  <c r="AR30" i="12"/>
  <c r="BA29" i="12"/>
  <c r="AY29" i="12"/>
  <c r="AT29" i="12"/>
  <c r="AS29" i="12"/>
  <c r="AR29" i="12"/>
  <c r="BA28" i="12"/>
  <c r="AY28" i="12"/>
  <c r="AT28" i="12"/>
  <c r="AS28" i="12"/>
  <c r="AR28" i="12"/>
  <c r="BA27" i="12"/>
  <c r="AY27" i="12"/>
  <c r="AT27" i="12"/>
  <c r="AS27" i="12"/>
  <c r="AR27" i="12"/>
  <c r="BA26" i="12"/>
  <c r="AY26" i="12"/>
  <c r="AT26" i="12"/>
  <c r="AS26" i="12"/>
  <c r="AR26" i="12"/>
  <c r="BA25" i="12"/>
  <c r="AY25" i="12"/>
  <c r="AT25" i="12"/>
  <c r="AS25" i="12"/>
  <c r="AR25" i="12"/>
  <c r="BA24" i="12"/>
  <c r="AY24" i="12"/>
  <c r="AT24" i="12"/>
  <c r="AS24" i="12"/>
  <c r="AR24" i="12"/>
  <c r="BA23" i="12"/>
  <c r="AY23" i="12"/>
  <c r="AT23" i="12"/>
  <c r="AS23" i="12"/>
  <c r="AR23" i="12"/>
  <c r="BA62" i="12"/>
  <c r="AY62" i="12"/>
  <c r="AT62" i="12"/>
  <c r="AS62" i="12"/>
  <c r="AR62" i="12"/>
  <c r="BA22" i="12"/>
  <c r="AY22" i="12"/>
  <c r="AT22" i="12"/>
  <c r="AS22" i="12"/>
  <c r="AR22" i="12"/>
  <c r="AY21" i="12"/>
  <c r="AT21" i="12"/>
  <c r="AS21" i="12"/>
  <c r="AR21" i="12"/>
  <c r="BA20" i="12"/>
  <c r="AY20" i="12"/>
  <c r="AT20" i="12"/>
  <c r="AS20" i="12"/>
  <c r="AR20" i="12"/>
  <c r="BA19" i="12"/>
  <c r="AY19" i="12"/>
  <c r="AT19" i="12"/>
  <c r="AS19" i="12"/>
  <c r="AR19" i="12"/>
  <c r="BA64" i="12"/>
  <c r="AY64" i="12"/>
  <c r="AT64" i="12"/>
  <c r="AS64" i="12"/>
  <c r="AR64" i="12"/>
  <c r="BA63" i="12"/>
  <c r="AY63" i="12"/>
  <c r="AT63" i="12"/>
  <c r="AS63" i="12"/>
  <c r="AR63" i="12"/>
  <c r="BA61" i="12"/>
  <c r="AY61" i="12"/>
  <c r="AT61" i="12"/>
  <c r="AS61" i="12"/>
  <c r="AR61" i="12"/>
  <c r="BA18" i="12"/>
  <c r="AY18" i="12"/>
  <c r="AT18" i="12"/>
  <c r="AS18" i="12"/>
  <c r="AR18" i="12"/>
  <c r="BA17" i="12"/>
  <c r="AY17" i="12"/>
  <c r="AT17" i="12"/>
  <c r="AS17" i="12"/>
  <c r="AR17" i="12"/>
  <c r="BA16" i="12"/>
  <c r="AY16" i="12"/>
  <c r="AT16" i="12"/>
  <c r="AS16" i="12"/>
  <c r="AR16" i="12"/>
  <c r="BA15" i="12"/>
  <c r="AY15" i="12"/>
  <c r="AT15" i="12"/>
  <c r="AS15" i="12"/>
  <c r="AR15" i="12"/>
  <c r="BA14" i="12"/>
  <c r="AY14" i="12"/>
  <c r="AT14" i="12"/>
  <c r="AS14" i="12"/>
  <c r="AR14" i="12"/>
  <c r="BA13" i="12"/>
  <c r="AY13" i="12"/>
  <c r="AT13" i="12"/>
  <c r="AS13" i="12"/>
  <c r="AR13" i="12"/>
  <c r="BA11" i="12"/>
  <c r="AY11" i="12"/>
  <c r="AT11" i="12"/>
  <c r="AS11" i="12"/>
  <c r="AR11" i="12"/>
  <c r="AT10" i="12"/>
  <c r="AS10" i="12"/>
  <c r="AR10" i="12"/>
  <c r="BA9" i="12"/>
  <c r="AY9" i="12"/>
  <c r="AT9" i="12"/>
  <c r="AS9" i="12"/>
  <c r="AR9" i="12"/>
  <c r="BA8" i="12"/>
  <c r="AY8" i="12"/>
  <c r="AT8" i="12"/>
  <c r="AS8" i="12"/>
  <c r="AR8" i="12"/>
  <c r="BA7" i="12"/>
  <c r="AY7" i="12"/>
  <c r="AT7" i="12"/>
  <c r="AS7" i="12"/>
  <c r="AR7" i="12"/>
  <c r="BA6" i="12"/>
  <c r="AY6" i="12"/>
  <c r="AT6" i="12"/>
  <c r="AS6" i="12"/>
  <c r="AR6" i="12"/>
  <c r="L76" i="12" l="1"/>
  <c r="AP58" i="12"/>
  <c r="J76" i="12"/>
  <c r="K76" i="12"/>
  <c r="Q76" i="12"/>
  <c r="O76" i="12"/>
  <c r="S76" i="12"/>
  <c r="R76" i="12"/>
  <c r="P76" i="12"/>
  <c r="M76" i="12"/>
  <c r="AY71" i="12"/>
  <c r="BA71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61" i="12"/>
  <c r="AP63" i="12"/>
  <c r="AP64" i="12"/>
  <c r="AP19" i="12"/>
  <c r="AP20" i="12"/>
  <c r="AP21" i="12"/>
  <c r="AP22" i="12"/>
  <c r="AP62" i="12"/>
  <c r="AP23" i="12"/>
  <c r="AP24" i="12"/>
  <c r="AP25" i="12"/>
  <c r="AP26" i="12"/>
  <c r="AP27" i="12"/>
  <c r="AP28" i="12"/>
  <c r="AP29" i="12"/>
  <c r="AP30" i="12"/>
  <c r="AP31" i="12"/>
  <c r="AP32" i="12"/>
  <c r="AP33" i="12"/>
  <c r="AP34" i="12"/>
  <c r="AP35" i="12"/>
  <c r="AP36" i="12"/>
  <c r="AP37" i="12"/>
  <c r="AP38" i="12"/>
  <c r="AP39" i="12"/>
  <c r="AP40" i="12"/>
  <c r="AP65" i="12"/>
  <c r="AP41" i="12"/>
  <c r="AP42" i="12"/>
  <c r="AP43" i="12"/>
  <c r="AP44" i="12"/>
  <c r="AP45" i="12"/>
  <c r="AP46" i="12"/>
  <c r="AP47" i="12"/>
  <c r="AP48" i="12"/>
  <c r="AP49" i="12"/>
  <c r="AP50" i="12"/>
  <c r="AP51" i="12"/>
  <c r="AP52" i="12"/>
  <c r="AP53" i="12"/>
  <c r="AP54" i="12"/>
  <c r="AP5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tc={99367C32-BCD5-4D23-B030-FB5CE6A7F992}</author>
    <author>tc={55A06260-3D1E-4994-A90D-1A7D46FD1A03}</author>
  </authors>
  <commentList>
    <comment ref="AC39" authorId="0" shapeId="0" xr:uid="{99367C32-BCD5-4D23-B030-FB5CE6A7F992}">
      <text>
        <t>[Threaded comment]
Your version of Excel allows you to read this threaded comment; however, any edits to it will get removed if the file is opened in a newer version of Excel. Learn more: https://go.microsoft.com/fwlink/?linkid=870924
Comment:
    Opomena zbog nedolaska na posao</t>
      </text>
    </comment>
    <comment ref="AB58" authorId="1" shapeId="0" xr:uid="{55A06260-3D1E-4994-A90D-1A7D46FD1A03}">
      <text>
        <t>[Threaded comment]
Your version of Excel allows you to read this threaded comment; however, any edits to it will get removed if the file is opened in a newer version of Excel. Learn more: https://go.microsoft.com/fwlink/?linkid=870924
Comment:
    Opomena zbog nedolaska na posao</t>
      </text>
    </comment>
  </commentList>
</comments>
</file>

<file path=xl/sharedStrings.xml><?xml version="1.0" encoding="utf-8"?>
<sst xmlns="http://schemas.openxmlformats.org/spreadsheetml/2006/main" count="1565" uniqueCount="204">
  <si>
    <t>Stanje 01.01.</t>
  </si>
  <si>
    <t>RB</t>
  </si>
  <si>
    <t>Ime I prezime</t>
  </si>
  <si>
    <t>Radno mesto</t>
  </si>
  <si>
    <t>Position</t>
  </si>
  <si>
    <t>Preostalo iz 2024. god</t>
  </si>
  <si>
    <t>Iskorišćeno u 2025. god</t>
  </si>
  <si>
    <t>dani odmora</t>
  </si>
  <si>
    <t>Stanje</t>
  </si>
  <si>
    <t>Decembar</t>
  </si>
  <si>
    <t>Ukupno sati</t>
  </si>
  <si>
    <t>Sati u toku meseca</t>
  </si>
  <si>
    <t>Prekovremeni sati</t>
  </si>
  <si>
    <t>Radni dani</t>
  </si>
  <si>
    <t>Noćna smena (redovna)</t>
  </si>
  <si>
    <t>Noćna smena (subota)</t>
  </si>
  <si>
    <t>Bolovanje</t>
  </si>
  <si>
    <t>Godišnji odmor</t>
  </si>
  <si>
    <t>Napomena</t>
  </si>
  <si>
    <t>Pejački Vladan</t>
  </si>
  <si>
    <t>Direktor</t>
  </si>
  <si>
    <t>go</t>
  </si>
  <si>
    <t>Nikola Rajić</t>
  </si>
  <si>
    <t>Menadžer proizvodnje</t>
  </si>
  <si>
    <t>SC</t>
  </si>
  <si>
    <t>Milan Janković</t>
  </si>
  <si>
    <t>Menadžer administracije</t>
  </si>
  <si>
    <t>Account</t>
  </si>
  <si>
    <t>Jelena Miladinović</t>
  </si>
  <si>
    <t>Administrativni asistent</t>
  </si>
  <si>
    <t>Purchase</t>
  </si>
  <si>
    <t>ks</t>
  </si>
  <si>
    <t>Jelena Pavlović</t>
  </si>
  <si>
    <t>28-31.</t>
  </si>
  <si>
    <t>10.10.</t>
  </si>
  <si>
    <t>Mirjana Stojmirović</t>
  </si>
  <si>
    <t>Higijeničar</t>
  </si>
  <si>
    <t>Hygiest</t>
  </si>
  <si>
    <t>Marija Tutavac</t>
  </si>
  <si>
    <t>Menadžer kvaliteta</t>
  </si>
  <si>
    <t>Quality</t>
  </si>
  <si>
    <t>23-24; 27.</t>
  </si>
  <si>
    <t>Sergej Solev</t>
  </si>
  <si>
    <t>Vođa smene</t>
  </si>
  <si>
    <t>Shift Leader</t>
  </si>
  <si>
    <t>Miloš Tacić</t>
  </si>
  <si>
    <t>Lazar Panajotović</t>
  </si>
  <si>
    <t>Nenad Radojević</t>
  </si>
  <si>
    <t>Viljuškarista</t>
  </si>
  <si>
    <t xml:space="preserve">Forklift </t>
  </si>
  <si>
    <t>08-17.</t>
  </si>
  <si>
    <t>Darko Perić</t>
  </si>
  <si>
    <t>Casting L2</t>
  </si>
  <si>
    <t>27.</t>
  </si>
  <si>
    <t>Željko Perić</t>
  </si>
  <si>
    <t>Zlatan Stojmirović</t>
  </si>
  <si>
    <t>Proizvodnja gumica</t>
  </si>
  <si>
    <t>Demolding L2</t>
  </si>
  <si>
    <t>07-10.</t>
  </si>
  <si>
    <t>20.</t>
  </si>
  <si>
    <t>Miodrag Kostić</t>
  </si>
  <si>
    <t>Compact - L1</t>
  </si>
  <si>
    <t>Casting L1</t>
  </si>
  <si>
    <t>/</t>
  </si>
  <si>
    <t>16-17.</t>
  </si>
  <si>
    <t>Bojan Mikić</t>
  </si>
  <si>
    <t>sd</t>
  </si>
  <si>
    <t>27-28.</t>
  </si>
  <si>
    <t>Miloš Miloradović</t>
  </si>
  <si>
    <t>Compact - (OBUKA)</t>
  </si>
  <si>
    <t>Dragan Marković</t>
  </si>
  <si>
    <t>Universal - Demontaža mala L2</t>
  </si>
  <si>
    <t>Demolding L1</t>
  </si>
  <si>
    <t>09-14.</t>
  </si>
  <si>
    <t>Predrag Maksić</t>
  </si>
  <si>
    <t>Universal - Livenje L2</t>
  </si>
  <si>
    <t>Casting L4</t>
  </si>
  <si>
    <t>Nemanja Đorđević</t>
  </si>
  <si>
    <t>Univerzal - Demontaža, mala L2</t>
  </si>
  <si>
    <t>13.</t>
  </si>
  <si>
    <t>Željko Ranković</t>
  </si>
  <si>
    <t>Universal - Demontaža Mala L2</t>
  </si>
  <si>
    <t>Aleksandar Đorđević</t>
  </si>
  <si>
    <t>Draško Stojadinović</t>
  </si>
  <si>
    <t>Universal - Demontaža Velika L2</t>
  </si>
  <si>
    <t>Mladen Simić</t>
  </si>
  <si>
    <t>Rodicut - Demontaža L3</t>
  </si>
  <si>
    <t>Demolding L3</t>
  </si>
  <si>
    <t>Ivan Aćimović</t>
  </si>
  <si>
    <t>Strug 1</t>
  </si>
  <si>
    <t>Lathe</t>
  </si>
  <si>
    <t>David Zivic</t>
  </si>
  <si>
    <t>Dejan Jović</t>
  </si>
  <si>
    <t>Aleksandar Milošević</t>
  </si>
  <si>
    <t>Livenje L4</t>
  </si>
  <si>
    <t>01-16.</t>
  </si>
  <si>
    <t>24; 30-31.</t>
  </si>
  <si>
    <t>Darko Golubović</t>
  </si>
  <si>
    <t>Demontaža L4</t>
  </si>
  <si>
    <t>Demolding L4</t>
  </si>
  <si>
    <t>Darko Životić</t>
  </si>
  <si>
    <t>Aurora L4 - strug</t>
  </si>
  <si>
    <t>Dragana Gvozdić</t>
  </si>
  <si>
    <t>Aurora L4</t>
  </si>
  <si>
    <t>Lathe L4</t>
  </si>
  <si>
    <t>23-24.</t>
  </si>
  <si>
    <t>06; 17.</t>
  </si>
  <si>
    <t>Dragan Ivić</t>
  </si>
  <si>
    <t>Strug 2</t>
  </si>
  <si>
    <t>Đorđe Stojković</t>
  </si>
  <si>
    <t>bo</t>
  </si>
  <si>
    <t>01-03.</t>
  </si>
  <si>
    <t>Vlajković Stefan</t>
  </si>
  <si>
    <t>Rodicut - Livenje</t>
  </si>
  <si>
    <t>KS</t>
  </si>
  <si>
    <t>02-03.</t>
  </si>
  <si>
    <t>Stefan Mitrović</t>
  </si>
  <si>
    <t>Matiranje</t>
  </si>
  <si>
    <t>Grinding</t>
  </si>
  <si>
    <t>03. 10.</t>
  </si>
  <si>
    <t>Marijan Stanković</t>
  </si>
  <si>
    <t>Presa 2</t>
  </si>
  <si>
    <t>Press</t>
  </si>
  <si>
    <t>Biljana Atanacković</t>
  </si>
  <si>
    <t>Presa 2 - pakovanje</t>
  </si>
  <si>
    <t>Rubber band</t>
  </si>
  <si>
    <t>Stefan Nikolic</t>
  </si>
  <si>
    <t>Milan Savić</t>
  </si>
  <si>
    <t>Priprema mrežica</t>
  </si>
  <si>
    <t>Fiberglass</t>
  </si>
  <si>
    <t>03.</t>
  </si>
  <si>
    <t>Jovo Ivaneža</t>
  </si>
  <si>
    <t>Lazar Petrović</t>
  </si>
  <si>
    <t xml:space="preserve">Rodicut - Livenje L3 </t>
  </si>
  <si>
    <t>Casting L3</t>
  </si>
  <si>
    <t>Nenad Pantić</t>
  </si>
  <si>
    <t>Compact - Demontaža</t>
  </si>
  <si>
    <t>15-20.</t>
  </si>
  <si>
    <t>Srđan Stević</t>
  </si>
  <si>
    <t>17-24.</t>
  </si>
  <si>
    <t>Saša Radosavljević</t>
  </si>
  <si>
    <t>Aleksandar Pavlović</t>
  </si>
  <si>
    <t>Otkaz</t>
  </si>
  <si>
    <t>Stefan Mitrović-1</t>
  </si>
  <si>
    <t>Miloš Rajić</t>
  </si>
  <si>
    <t>Universal - Demontaža OBUKA</t>
  </si>
  <si>
    <t>Nikola Živković</t>
  </si>
  <si>
    <t>Darko Nikolić</t>
  </si>
  <si>
    <t>Presa - Obuka</t>
  </si>
  <si>
    <t>Ivan Mirković</t>
  </si>
  <si>
    <t xml:space="preserve">Strug 2-Obuka </t>
  </si>
  <si>
    <t>Zlatko Ristić</t>
  </si>
  <si>
    <t>Isa Alaca</t>
  </si>
  <si>
    <t>Back Press</t>
  </si>
  <si>
    <t>Nenad Viduljević</t>
  </si>
  <si>
    <t>Aleksandar Novakov</t>
  </si>
  <si>
    <t>Stanojević Aleksandar</t>
  </si>
  <si>
    <t>Demo L1</t>
  </si>
  <si>
    <t>Aleksandar Perić</t>
  </si>
  <si>
    <t>Magacin</t>
  </si>
  <si>
    <t>Warehouse</t>
  </si>
  <si>
    <t>S</t>
  </si>
  <si>
    <t>Saša Nikolić</t>
  </si>
  <si>
    <t>28.</t>
  </si>
  <si>
    <t>Miloš Jevtić</t>
  </si>
  <si>
    <t>Održavanje</t>
  </si>
  <si>
    <t>Maintenance</t>
  </si>
  <si>
    <t>Draško Stokić</t>
  </si>
  <si>
    <t>Nikola Janković</t>
  </si>
  <si>
    <t>Daily Hour Gross</t>
  </si>
  <si>
    <t>Daily Hour</t>
  </si>
  <si>
    <t>Bolovanje:</t>
  </si>
  <si>
    <t>SD</t>
  </si>
  <si>
    <t>LEGENDA:</t>
  </si>
  <si>
    <t>go - godišnji odmor</t>
  </si>
  <si>
    <t>ks - krsna slava</t>
  </si>
  <si>
    <t>Hour Sick</t>
  </si>
  <si>
    <t>bo - bolovanje</t>
  </si>
  <si>
    <t>Sick Rate</t>
  </si>
  <si>
    <t xml:space="preserve">Nikola Rajić </t>
  </si>
  <si>
    <t>Đorđe Anđelkoski</t>
  </si>
  <si>
    <t>sd - slobodan dan</t>
  </si>
  <si>
    <t>no - neopravdano odsutan</t>
  </si>
  <si>
    <t>so - službeno odsutan</t>
  </si>
  <si>
    <t>Rd - rođenje deteta</t>
  </si>
  <si>
    <t>vikend</t>
  </si>
  <si>
    <t>neradan dan</t>
  </si>
  <si>
    <t>III smena</t>
  </si>
  <si>
    <t>overhead</t>
  </si>
  <si>
    <t>dp - državni praznik</t>
  </si>
  <si>
    <t>ss-smrtni slučaj</t>
  </si>
  <si>
    <t>Stanje 01.02.</t>
  </si>
  <si>
    <t>Iskorišćeno u 2025.</t>
  </si>
  <si>
    <t>Iskorišćeno u 2026.</t>
  </si>
  <si>
    <t>Dani odmora iz 2025.</t>
  </si>
  <si>
    <t>Februar</t>
  </si>
  <si>
    <t>dp</t>
  </si>
  <si>
    <t>BO</t>
  </si>
  <si>
    <t>Nikola Vladimirović</t>
  </si>
  <si>
    <t>ss</t>
  </si>
  <si>
    <t>April</t>
  </si>
  <si>
    <t>?</t>
  </si>
  <si>
    <t>Stanje 01.04.</t>
  </si>
  <si>
    <t>Pravo na odmor iz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</si>
</sst>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1"/>
      <color rgb="FF000000"/>
      <name val="Aptos Narrow"/>
      <family val="2"/>
      <charset val="238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38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3" fillId="3" borderId="0" xfId="0" applyFont="1" applyFill="1"/>
    <xf numFmtId="0" fontId="3" fillId="2" borderId="0" xfId="0" applyFont="1" applyFill="1"/>
    <xf numFmtId="10" fontId="1" fillId="0" borderId="0" xfId="0" applyNumberFormat="1" applyFont="1"/>
    <xf numFmtId="0" fontId="3" fillId="0" borderId="14" xfId="0" applyFont="1" applyBorder="1" applyAlignment="1">
      <alignment horizontal="center" vertical="center"/>
    </xf>
    <xf numFmtId="0" fontId="3" fillId="0" borderId="0" xfId="0" applyFont="1"/>
    <xf numFmtId="0" fontId="0" fillId="6" borderId="0" xfId="0" applyFill="1"/>
    <xf numFmtId="0" fontId="3" fillId="6" borderId="14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7" fillId="6" borderId="14" xfId="0" applyFont="1" applyFill="1" applyBorder="1" applyAlignment="1">
      <alignment horizontal="center" vertical="center"/>
    </xf>
    <xf numFmtId="0" fontId="1" fillId="6" borderId="0" xfId="0" applyFont="1" applyFill="1"/>
    <xf numFmtId="0" fontId="0" fillId="0" borderId="14" xfId="0" applyBorder="1" applyAlignment="1">
      <alignment horizontal="center"/>
    </xf>
    <xf numFmtId="0" fontId="0" fillId="0" borderId="25" xfId="0" applyBorder="1"/>
    <xf numFmtId="0" fontId="0" fillId="0" borderId="14" xfId="0" applyBorder="1"/>
    <xf numFmtId="0" fontId="0" fillId="0" borderId="22" xfId="0" applyBorder="1"/>
    <xf numFmtId="0" fontId="0" fillId="0" borderId="34" xfId="0" applyBorder="1"/>
    <xf numFmtId="0" fontId="0" fillId="0" borderId="35" xfId="0" applyBorder="1"/>
    <xf numFmtId="0" fontId="0" fillId="0" borderId="39" xfId="0" applyBorder="1"/>
    <xf numFmtId="0" fontId="0" fillId="0" borderId="30" xfId="0" applyBorder="1"/>
    <xf numFmtId="0" fontId="0" fillId="0" borderId="5" xfId="0" applyBorder="1"/>
    <xf numFmtId="0" fontId="0" fillId="0" borderId="9" xfId="0" applyBorder="1"/>
    <xf numFmtId="0" fontId="0" fillId="0" borderId="13" xfId="0" applyBorder="1"/>
    <xf numFmtId="0" fontId="0" fillId="0" borderId="12" xfId="0" applyBorder="1"/>
    <xf numFmtId="0" fontId="0" fillId="0" borderId="11" xfId="0" applyBorder="1"/>
    <xf numFmtId="0" fontId="8" fillId="0" borderId="13" xfId="0" applyFont="1" applyBorder="1"/>
    <xf numFmtId="0" fontId="1" fillId="6" borderId="0" xfId="0" applyFont="1" applyFill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6" borderId="37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" fontId="1" fillId="0" borderId="14" xfId="0" applyNumberFormat="1" applyFont="1" applyBorder="1" applyAlignment="1">
      <alignment horizontal="center"/>
    </xf>
    <xf numFmtId="0" fontId="3" fillId="0" borderId="37" xfId="0" applyFont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0" fillId="6" borderId="37" xfId="0" applyFill="1" applyBorder="1" applyAlignment="1">
      <alignment horizontal="center"/>
    </xf>
    <xf numFmtId="0" fontId="11" fillId="6" borderId="0" xfId="0" applyFont="1" applyFill="1"/>
    <xf numFmtId="0" fontId="0" fillId="6" borderId="0" xfId="0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/>
    </xf>
    <xf numFmtId="0" fontId="7" fillId="6" borderId="0" xfId="0" applyFont="1" applyFill="1"/>
    <xf numFmtId="0" fontId="10" fillId="0" borderId="14" xfId="0" applyFont="1" applyBorder="1"/>
    <xf numFmtId="0" fontId="7" fillId="10" borderId="14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0" fillId="6" borderId="0" xfId="0" applyFont="1" applyFill="1"/>
    <xf numFmtId="0" fontId="5" fillId="6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left" vertical="center"/>
    </xf>
    <xf numFmtId="0" fontId="10" fillId="13" borderId="14" xfId="0" applyFont="1" applyFill="1" applyBorder="1"/>
    <xf numFmtId="0" fontId="2" fillId="0" borderId="3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7" fillId="0" borderId="14" xfId="0" applyFont="1" applyBorder="1"/>
    <xf numFmtId="0" fontId="0" fillId="9" borderId="14" xfId="0" applyFill="1" applyBorder="1" applyAlignment="1">
      <alignment horizontal="center"/>
    </xf>
    <xf numFmtId="0" fontId="0" fillId="6" borderId="14" xfId="0" applyFill="1" applyBorder="1"/>
    <xf numFmtId="0" fontId="9" fillId="6" borderId="14" xfId="0" applyFont="1" applyFill="1" applyBorder="1" applyAlignment="1">
      <alignment horizontal="center"/>
    </xf>
    <xf numFmtId="0" fontId="7" fillId="6" borderId="14" xfId="0" applyFont="1" applyFill="1" applyBorder="1"/>
    <xf numFmtId="0" fontId="0" fillId="6" borderId="14" xfId="0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10" fillId="0" borderId="34" xfId="0" applyFont="1" applyBorder="1"/>
    <xf numFmtId="0" fontId="7" fillId="6" borderId="34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6" borderId="34" xfId="0" applyFont="1" applyFill="1" applyBorder="1" applyAlignment="1">
      <alignment horizontal="center" vertical="center"/>
    </xf>
    <xf numFmtId="0" fontId="13" fillId="10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6" borderId="22" xfId="0" applyFill="1" applyBorder="1"/>
    <xf numFmtId="0" fontId="3" fillId="0" borderId="37" xfId="0" applyFont="1" applyBorder="1" applyAlignment="1">
      <alignment horizontal="left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9" borderId="14" xfId="0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 wrapText="1"/>
    </xf>
    <xf numFmtId="0" fontId="0" fillId="0" borderId="34" xfId="0" applyBorder="1" applyAlignment="1">
      <alignment vertical="center" wrapText="1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6" borderId="37" xfId="0" applyFill="1" applyBorder="1"/>
    <xf numFmtId="0" fontId="9" fillId="6" borderId="37" xfId="0" applyFont="1" applyFill="1" applyBorder="1" applyAlignment="1">
      <alignment horizontal="center"/>
    </xf>
    <xf numFmtId="0" fontId="7" fillId="6" borderId="37" xfId="0" applyFont="1" applyFill="1" applyBorder="1"/>
    <xf numFmtId="0" fontId="0" fillId="6" borderId="38" xfId="0" applyFill="1" applyBorder="1"/>
    <xf numFmtId="0" fontId="3" fillId="0" borderId="3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0" fillId="0" borderId="16" xfId="0" applyBorder="1"/>
    <xf numFmtId="0" fontId="3" fillId="13" borderId="16" xfId="0" applyFont="1" applyFill="1" applyBorder="1" applyAlignment="1">
      <alignment horizontal="left" vertical="center"/>
    </xf>
    <xf numFmtId="0" fontId="3" fillId="6" borderId="36" xfId="0" applyFont="1" applyFill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12" borderId="0" xfId="0" applyFill="1"/>
    <xf numFmtId="0" fontId="0" fillId="12" borderId="37" xfId="0" applyFill="1" applyBorder="1"/>
    <xf numFmtId="0" fontId="9" fillId="12" borderId="14" xfId="0" applyFont="1" applyFill="1" applyBorder="1" applyAlignment="1">
      <alignment horizontal="center" vertical="center"/>
    </xf>
    <xf numFmtId="0" fontId="7" fillId="13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4" fillId="0" borderId="14" xfId="0" applyFont="1" applyBorder="1"/>
    <xf numFmtId="0" fontId="7" fillId="6" borderId="44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6" borderId="0" xfId="0" applyFont="1" applyFill="1" applyAlignment="1">
      <alignment horizontal="center"/>
    </xf>
    <xf numFmtId="0" fontId="3" fillId="0" borderId="15" xfId="0" applyFont="1" applyBorder="1" applyAlignment="1">
      <alignment horizontal="left" vertical="center"/>
    </xf>
    <xf numFmtId="0" fontId="0" fillId="0" borderId="15" xfId="0" applyBorder="1"/>
    <xf numFmtId="0" fontId="1" fillId="0" borderId="3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7" fillId="0" borderId="16" xfId="0" applyFont="1" applyBorder="1"/>
    <xf numFmtId="0" fontId="7" fillId="6" borderId="16" xfId="0" applyFont="1" applyFill="1" applyBorder="1"/>
    <xf numFmtId="0" fontId="7" fillId="6" borderId="36" xfId="0" applyFont="1" applyFill="1" applyBorder="1"/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0" fillId="0" borderId="50" xfId="0" applyBorder="1"/>
    <xf numFmtId="0" fontId="9" fillId="6" borderId="50" xfId="0" applyFont="1" applyFill="1" applyBorder="1" applyAlignment="1">
      <alignment horizontal="center"/>
    </xf>
    <xf numFmtId="0" fontId="2" fillId="0" borderId="51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2" xfId="0" applyFont="1" applyBorder="1" applyAlignment="1">
      <alignment horizontal="left" vertical="center"/>
    </xf>
    <xf numFmtId="0" fontId="0" fillId="0" borderId="52" xfId="0" applyBorder="1"/>
    <xf numFmtId="0" fontId="3" fillId="0" borderId="54" xfId="0" applyFont="1" applyBorder="1" applyAlignment="1">
      <alignment horizontal="left" vertical="center"/>
    </xf>
    <xf numFmtId="0" fontId="3" fillId="0" borderId="55" xfId="0" applyFont="1" applyBorder="1" applyAlignment="1">
      <alignment horizontal="left" vertical="center"/>
    </xf>
    <xf numFmtId="0" fontId="3" fillId="0" borderId="56" xfId="0" applyFont="1" applyBorder="1" applyAlignment="1">
      <alignment horizontal="left" vertical="center"/>
    </xf>
    <xf numFmtId="0" fontId="3" fillId="0" borderId="53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14" fillId="0" borderId="52" xfId="0" applyFont="1" applyBorder="1" applyAlignment="1">
      <alignment horizontal="center"/>
    </xf>
    <xf numFmtId="0" fontId="14" fillId="0" borderId="57" xfId="0" applyFont="1" applyBorder="1" applyAlignment="1">
      <alignment horizontal="center"/>
    </xf>
    <xf numFmtId="0" fontId="14" fillId="0" borderId="63" xfId="0" applyFont="1" applyBorder="1" applyAlignment="1">
      <alignment horizontal="center"/>
    </xf>
    <xf numFmtId="0" fontId="3" fillId="0" borderId="63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" fillId="14" borderId="64" xfId="0" applyFont="1" applyFill="1" applyBorder="1" applyAlignment="1">
      <alignment horizontal="center" vertical="center"/>
    </xf>
    <xf numFmtId="0" fontId="3" fillId="14" borderId="65" xfId="0" applyFont="1" applyFill="1" applyBorder="1" applyAlignment="1">
      <alignment horizontal="center" vertical="center"/>
    </xf>
    <xf numFmtId="0" fontId="7" fillId="14" borderId="65" xfId="0" applyFont="1" applyFill="1" applyBorder="1" applyAlignment="1">
      <alignment horizontal="center" vertical="center"/>
    </xf>
    <xf numFmtId="0" fontId="3" fillId="6" borderId="67" xfId="0" applyFont="1" applyFill="1" applyBorder="1" applyAlignment="1">
      <alignment horizontal="center" vertical="center"/>
    </xf>
    <xf numFmtId="0" fontId="7" fillId="14" borderId="68" xfId="0" applyFont="1" applyFill="1" applyBorder="1" applyAlignment="1">
      <alignment horizontal="center" vertical="center"/>
    </xf>
    <xf numFmtId="0" fontId="7" fillId="14" borderId="69" xfId="0" applyFont="1" applyFill="1" applyBorder="1" applyAlignment="1">
      <alignment horizontal="center" vertical="center"/>
    </xf>
    <xf numFmtId="0" fontId="7" fillId="6" borderId="70" xfId="0" applyFont="1" applyFill="1" applyBorder="1" applyAlignment="1">
      <alignment horizontal="center" vertical="center"/>
    </xf>
    <xf numFmtId="0" fontId="2" fillId="14" borderId="72" xfId="0" applyFont="1" applyFill="1" applyBorder="1" applyAlignment="1">
      <alignment horizontal="center" vertical="center"/>
    </xf>
    <xf numFmtId="0" fontId="2" fillId="6" borderId="73" xfId="0" applyFont="1" applyFill="1" applyBorder="1" applyAlignment="1">
      <alignment horizontal="center" vertical="center"/>
    </xf>
    <xf numFmtId="0" fontId="2" fillId="14" borderId="74" xfId="0" applyFont="1" applyFill="1" applyBorder="1" applyAlignment="1">
      <alignment horizontal="center" vertical="center"/>
    </xf>
    <xf numFmtId="0" fontId="0" fillId="6" borderId="44" xfId="0" applyFill="1" applyBorder="1" applyAlignment="1">
      <alignment horizontal="center"/>
    </xf>
    <xf numFmtId="0" fontId="0" fillId="14" borderId="65" xfId="0" applyFill="1" applyBorder="1" applyAlignment="1">
      <alignment horizontal="center"/>
    </xf>
    <xf numFmtId="0" fontId="7" fillId="12" borderId="44" xfId="0" applyFont="1" applyFill="1" applyBorder="1" applyAlignment="1">
      <alignment horizontal="center" vertical="center"/>
    </xf>
    <xf numFmtId="0" fontId="3" fillId="12" borderId="44" xfId="0" applyFont="1" applyFill="1" applyBorder="1" applyAlignment="1">
      <alignment horizontal="center" vertical="center"/>
    </xf>
    <xf numFmtId="0" fontId="3" fillId="6" borderId="75" xfId="0" applyFont="1" applyFill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0" fontId="3" fillId="0" borderId="7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63" xfId="0" applyFont="1" applyBorder="1" applyAlignment="1">
      <alignment horizontal="left" vertical="center"/>
    </xf>
    <xf numFmtId="0" fontId="2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horizontal="left" vertical="center"/>
    </xf>
    <xf numFmtId="0" fontId="3" fillId="0" borderId="81" xfId="0" applyFont="1" applyBorder="1" applyAlignment="1">
      <alignment horizontal="left" vertical="center"/>
    </xf>
    <xf numFmtId="0" fontId="3" fillId="0" borderId="81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/>
    </xf>
    <xf numFmtId="0" fontId="3" fillId="6" borderId="83" xfId="0" applyFont="1" applyFill="1" applyBorder="1" applyAlignment="1">
      <alignment horizontal="center" vertical="center"/>
    </xf>
    <xf numFmtId="0" fontId="7" fillId="14" borderId="84" xfId="0" applyFont="1" applyFill="1" applyBorder="1" applyAlignment="1">
      <alignment horizontal="center" vertical="center"/>
    </xf>
    <xf numFmtId="0" fontId="7" fillId="14" borderId="49" xfId="0" applyFont="1" applyFill="1" applyBorder="1" applyAlignment="1">
      <alignment horizontal="center" vertical="center"/>
    </xf>
    <xf numFmtId="0" fontId="7" fillId="14" borderId="50" xfId="0" applyFont="1" applyFill="1" applyBorder="1" applyAlignment="1">
      <alignment horizontal="center" vertical="center"/>
    </xf>
    <xf numFmtId="0" fontId="7" fillId="14" borderId="79" xfId="0" applyFont="1" applyFill="1" applyBorder="1" applyAlignment="1">
      <alignment horizontal="center" vertical="center"/>
    </xf>
    <xf numFmtId="0" fontId="7" fillId="14" borderId="51" xfId="0" applyFont="1" applyFill="1" applyBorder="1" applyAlignment="1">
      <alignment horizontal="center" vertical="center"/>
    </xf>
    <xf numFmtId="0" fontId="7" fillId="6" borderId="85" xfId="0" applyFont="1" applyFill="1" applyBorder="1" applyAlignment="1">
      <alignment horizontal="center" vertical="center"/>
    </xf>
    <xf numFmtId="0" fontId="7" fillId="6" borderId="86" xfId="0" applyFont="1" applyFill="1" applyBorder="1" applyAlignment="1">
      <alignment horizontal="center" vertical="center"/>
    </xf>
    <xf numFmtId="0" fontId="7" fillId="12" borderId="86" xfId="0" applyFont="1" applyFill="1" applyBorder="1" applyAlignment="1">
      <alignment horizontal="center" vertical="center"/>
    </xf>
    <xf numFmtId="0" fontId="7" fillId="6" borderId="87" xfId="0" applyFont="1" applyFill="1" applyBorder="1" applyAlignment="1">
      <alignment horizontal="center" vertical="center"/>
    </xf>
    <xf numFmtId="0" fontId="7" fillId="6" borderId="88" xfId="0" applyFont="1" applyFill="1" applyBorder="1" applyAlignment="1">
      <alignment horizontal="center" vertical="center"/>
    </xf>
    <xf numFmtId="0" fontId="2" fillId="14" borderId="89" xfId="0" applyFont="1" applyFill="1" applyBorder="1" applyAlignment="1">
      <alignment horizontal="center" vertical="center"/>
    </xf>
    <xf numFmtId="0" fontId="3" fillId="14" borderId="64" xfId="0" applyFont="1" applyFill="1" applyBorder="1" applyAlignment="1">
      <alignment horizontal="center" vertical="center"/>
    </xf>
    <xf numFmtId="0" fontId="3" fillId="14" borderId="82" xfId="0" applyFont="1" applyFill="1" applyBorder="1" applyAlignment="1">
      <alignment horizontal="center" vertical="center"/>
    </xf>
    <xf numFmtId="0" fontId="3" fillId="14" borderId="66" xfId="0" applyFont="1" applyFill="1" applyBorder="1" applyAlignment="1">
      <alignment horizontal="center" vertical="center"/>
    </xf>
    <xf numFmtId="0" fontId="7" fillId="6" borderId="90" xfId="0" applyFont="1" applyFill="1" applyBorder="1" applyAlignment="1">
      <alignment horizontal="center" vertical="center"/>
    </xf>
    <xf numFmtId="0" fontId="3" fillId="6" borderId="91" xfId="0" applyFont="1" applyFill="1" applyBorder="1" applyAlignment="1">
      <alignment horizontal="center" vertical="center"/>
    </xf>
    <xf numFmtId="0" fontId="3" fillId="12" borderId="91" xfId="0" applyFont="1" applyFill="1" applyBorder="1" applyAlignment="1">
      <alignment horizontal="center" vertical="center"/>
    </xf>
    <xf numFmtId="0" fontId="7" fillId="6" borderId="91" xfId="0" applyFont="1" applyFill="1" applyBorder="1" applyAlignment="1">
      <alignment horizontal="center" vertical="center"/>
    </xf>
    <xf numFmtId="0" fontId="3" fillId="6" borderId="92" xfId="0" applyFont="1" applyFill="1" applyBorder="1" applyAlignment="1">
      <alignment horizontal="center" vertical="center"/>
    </xf>
    <xf numFmtId="0" fontId="3" fillId="6" borderId="93" xfId="0" applyFont="1" applyFill="1" applyBorder="1" applyAlignment="1">
      <alignment horizontal="center" vertical="center"/>
    </xf>
    <xf numFmtId="0" fontId="0" fillId="14" borderId="64" xfId="0" applyFill="1" applyBorder="1" applyAlignment="1">
      <alignment horizontal="center"/>
    </xf>
    <xf numFmtId="0" fontId="0" fillId="6" borderId="91" xfId="0" applyFill="1" applyBorder="1" applyAlignment="1">
      <alignment horizontal="center"/>
    </xf>
    <xf numFmtId="0" fontId="0" fillId="6" borderId="86" xfId="0" applyFill="1" applyBorder="1" applyAlignment="1">
      <alignment horizontal="center"/>
    </xf>
    <xf numFmtId="0" fontId="3" fillId="14" borderId="50" xfId="0" applyFont="1" applyFill="1" applyBorder="1" applyAlignment="1">
      <alignment horizontal="center" vertical="center"/>
    </xf>
    <xf numFmtId="0" fontId="9" fillId="14" borderId="50" xfId="0" applyFont="1" applyFill="1" applyBorder="1" applyAlignment="1">
      <alignment horizontal="center" vertical="center"/>
    </xf>
    <xf numFmtId="0" fontId="0" fillId="14" borderId="50" xfId="0" applyFill="1" applyBorder="1" applyAlignment="1">
      <alignment horizontal="center"/>
    </xf>
    <xf numFmtId="0" fontId="2" fillId="6" borderId="94" xfId="0" applyFont="1" applyFill="1" applyBorder="1" applyAlignment="1">
      <alignment horizontal="center" vertical="center"/>
    </xf>
    <xf numFmtId="0" fontId="2" fillId="6" borderId="95" xfId="0" applyFont="1" applyFill="1" applyBorder="1" applyAlignment="1">
      <alignment horizontal="center" vertical="center"/>
    </xf>
    <xf numFmtId="0" fontId="3" fillId="14" borderId="69" xfId="0" applyFont="1" applyFill="1" applyBorder="1" applyAlignment="1">
      <alignment horizontal="center" vertical="center"/>
    </xf>
    <xf numFmtId="0" fontId="7" fillId="14" borderId="71" xfId="0" applyFont="1" applyFill="1" applyBorder="1" applyAlignment="1">
      <alignment horizontal="center" vertical="center"/>
    </xf>
    <xf numFmtId="0" fontId="2" fillId="14" borderId="96" xfId="0" applyFont="1" applyFill="1" applyBorder="1" applyAlignment="1">
      <alignment horizontal="center" vertical="center"/>
    </xf>
    <xf numFmtId="0" fontId="3" fillId="14" borderId="97" xfId="0" applyFont="1" applyFill="1" applyBorder="1" applyAlignment="1">
      <alignment horizontal="center" vertical="center"/>
    </xf>
    <xf numFmtId="0" fontId="7" fillId="12" borderId="91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7" fillId="15" borderId="85" xfId="0" applyFont="1" applyFill="1" applyBorder="1" applyAlignment="1">
      <alignment horizontal="center" vertical="center"/>
    </xf>
    <xf numFmtId="0" fontId="3" fillId="15" borderId="70" xfId="0" applyFont="1" applyFill="1" applyBorder="1" applyAlignment="1">
      <alignment horizontal="center" vertical="center"/>
    </xf>
    <xf numFmtId="0" fontId="7" fillId="15" borderId="86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7" fillId="15" borderId="87" xfId="0" applyFont="1" applyFill="1" applyBorder="1" applyAlignment="1">
      <alignment horizontal="center" vertical="center"/>
    </xf>
    <xf numFmtId="0" fontId="3" fillId="15" borderId="83" xfId="0" applyFont="1" applyFill="1" applyBorder="1" applyAlignment="1">
      <alignment horizontal="center" vertical="center"/>
    </xf>
    <xf numFmtId="0" fontId="2" fillId="15" borderId="95" xfId="0" applyFont="1" applyFill="1" applyBorder="1" applyAlignment="1">
      <alignment horizontal="center" vertical="center"/>
    </xf>
    <xf numFmtId="0" fontId="2" fillId="15" borderId="73" xfId="0" applyFont="1" applyFill="1" applyBorder="1" applyAlignment="1">
      <alignment horizontal="center" vertical="center"/>
    </xf>
    <xf numFmtId="0" fontId="3" fillId="6" borderId="70" xfId="0" applyFont="1" applyFill="1" applyBorder="1" applyAlignment="1">
      <alignment horizontal="center" vertical="center"/>
    </xf>
    <xf numFmtId="0" fontId="3" fillId="12" borderId="70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9" fillId="14" borderId="14" xfId="0" applyFont="1" applyFill="1" applyBorder="1" applyAlignment="1">
      <alignment horizontal="center" vertical="center"/>
    </xf>
    <xf numFmtId="0" fontId="0" fillId="14" borderId="14" xfId="0" applyFill="1" applyBorder="1" applyAlignment="1">
      <alignment horizontal="center"/>
    </xf>
    <xf numFmtId="0" fontId="7" fillId="14" borderId="90" xfId="0" applyFont="1" applyFill="1" applyBorder="1" applyAlignment="1">
      <alignment horizontal="center" vertical="center"/>
    </xf>
    <xf numFmtId="0" fontId="7" fillId="14" borderId="91" xfId="0" applyFont="1" applyFill="1" applyBorder="1" applyAlignment="1">
      <alignment horizontal="center" vertical="center"/>
    </xf>
    <xf numFmtId="0" fontId="0" fillId="14" borderId="91" xfId="0" applyFill="1" applyBorder="1" applyAlignment="1">
      <alignment horizontal="center"/>
    </xf>
    <xf numFmtId="0" fontId="7" fillId="14" borderId="92" xfId="0" applyFont="1" applyFill="1" applyBorder="1" applyAlignment="1">
      <alignment horizontal="center" vertical="center"/>
    </xf>
    <xf numFmtId="0" fontId="7" fillId="14" borderId="93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7" fillId="14" borderId="16" xfId="0" applyFont="1" applyFill="1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/>
    </xf>
    <xf numFmtId="0" fontId="2" fillId="6" borderId="98" xfId="0" applyFont="1" applyFill="1" applyBorder="1" applyAlignment="1">
      <alignment horizontal="center" vertical="center"/>
    </xf>
    <xf numFmtId="0" fontId="2" fillId="6" borderId="99" xfId="0" applyFont="1" applyFill="1" applyBorder="1" applyAlignment="1">
      <alignment horizontal="center" vertical="center"/>
    </xf>
    <xf numFmtId="0" fontId="2" fillId="6" borderId="100" xfId="0" applyFont="1" applyFill="1" applyBorder="1" applyAlignment="1">
      <alignment horizontal="center" vertical="center"/>
    </xf>
    <xf numFmtId="0" fontId="7" fillId="6" borderId="101" xfId="0" applyFont="1" applyFill="1" applyBorder="1" applyAlignment="1">
      <alignment horizontal="center" vertical="center"/>
    </xf>
    <xf numFmtId="0" fontId="7" fillId="6" borderId="102" xfId="0" applyFont="1" applyFill="1" applyBorder="1" applyAlignment="1">
      <alignment horizontal="center" vertical="center"/>
    </xf>
    <xf numFmtId="0" fontId="7" fillId="6" borderId="103" xfId="0" applyFont="1" applyFill="1" applyBorder="1" applyAlignment="1">
      <alignment horizontal="center" vertical="center"/>
    </xf>
    <xf numFmtId="0" fontId="7" fillId="6" borderId="104" xfId="0" applyFont="1" applyFill="1" applyBorder="1" applyAlignment="1">
      <alignment horizontal="center" vertical="center"/>
    </xf>
    <xf numFmtId="0" fontId="7" fillId="6" borderId="105" xfId="0" applyFont="1" applyFill="1" applyBorder="1" applyAlignment="1">
      <alignment horizontal="center" vertical="center"/>
    </xf>
    <xf numFmtId="0" fontId="7" fillId="6" borderId="106" xfId="0" applyFont="1" applyFill="1" applyBorder="1" applyAlignment="1">
      <alignment horizontal="center" vertical="center"/>
    </xf>
    <xf numFmtId="0" fontId="7" fillId="6" borderId="107" xfId="0" applyFont="1" applyFill="1" applyBorder="1" applyAlignment="1">
      <alignment horizontal="center" vertical="center"/>
    </xf>
    <xf numFmtId="0" fontId="7" fillId="6" borderId="108" xfId="0" applyFont="1" applyFill="1" applyBorder="1" applyAlignment="1">
      <alignment horizontal="center" vertical="center"/>
    </xf>
    <xf numFmtId="0" fontId="7" fillId="12" borderId="85" xfId="0" applyFont="1" applyFill="1" applyBorder="1" applyAlignment="1">
      <alignment horizontal="center" vertical="center"/>
    </xf>
    <xf numFmtId="0" fontId="7" fillId="12" borderId="70" xfId="0" applyFont="1" applyFill="1" applyBorder="1" applyAlignment="1">
      <alignment horizontal="center" vertical="center"/>
    </xf>
    <xf numFmtId="0" fontId="7" fillId="12" borderId="90" xfId="0" applyFont="1" applyFill="1" applyBorder="1" applyAlignment="1">
      <alignment horizontal="center" vertical="center"/>
    </xf>
    <xf numFmtId="164" fontId="0" fillId="0" borderId="0" xfId="2" applyFont="1" applyAlignment="1">
      <alignment horizontal="left" vertical="center"/>
    </xf>
    <xf numFmtId="164" fontId="3" fillId="6" borderId="0" xfId="2" applyFont="1" applyFill="1" applyAlignment="1">
      <alignment horizontal="left" vertical="center"/>
    </xf>
    <xf numFmtId="164" fontId="3" fillId="0" borderId="0" xfId="2" applyFont="1" applyAlignment="1">
      <alignment horizontal="left" vertical="center"/>
    </xf>
    <xf numFmtId="164" fontId="1" fillId="0" borderId="0" xfId="2" applyFont="1" applyAlignment="1">
      <alignment horizontal="left" vertical="center"/>
    </xf>
    <xf numFmtId="164" fontId="3" fillId="0" borderId="20" xfId="2" applyFont="1" applyBorder="1" applyAlignment="1">
      <alignment horizontal="center" vertical="top"/>
    </xf>
    <xf numFmtId="164" fontId="3" fillId="0" borderId="96" xfId="2" applyFont="1" applyBorder="1" applyAlignment="1">
      <alignment horizontal="center" vertical="top"/>
    </xf>
    <xf numFmtId="0" fontId="17" fillId="6" borderId="70" xfId="0" applyFont="1" applyFill="1" applyBorder="1" applyAlignment="1">
      <alignment horizontal="center" vertical="center"/>
    </xf>
    <xf numFmtId="0" fontId="7" fillId="12" borderId="104" xfId="0" applyFont="1" applyFill="1" applyBorder="1" applyAlignment="1">
      <alignment horizontal="center" vertical="center"/>
    </xf>
    <xf numFmtId="0" fontId="7" fillId="12" borderId="10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7" fillId="12" borderId="16" xfId="0" applyFont="1" applyFill="1" applyBorder="1" applyAlignment="1">
      <alignment horizontal="center" vertical="center"/>
    </xf>
    <xf numFmtId="0" fontId="9" fillId="6" borderId="44" xfId="0" applyFont="1" applyFill="1" applyBorder="1" applyAlignment="1">
      <alignment horizontal="center" vertical="center"/>
    </xf>
    <xf numFmtId="0" fontId="2" fillId="6" borderId="89" xfId="0" applyFont="1" applyFill="1" applyBorder="1" applyAlignment="1">
      <alignment horizontal="center" vertical="center"/>
    </xf>
    <xf numFmtId="0" fontId="7" fillId="16" borderId="64" xfId="0" applyFont="1" applyFill="1" applyBorder="1" applyAlignment="1">
      <alignment horizontal="center" vertical="center"/>
    </xf>
    <xf numFmtId="0" fontId="7" fillId="16" borderId="65" xfId="0" applyFont="1" applyFill="1" applyBorder="1" applyAlignment="1">
      <alignment horizontal="center" vertical="center"/>
    </xf>
    <xf numFmtId="0" fontId="7" fillId="16" borderId="66" xfId="0" applyFont="1" applyFill="1" applyBorder="1" applyAlignment="1">
      <alignment horizontal="center" vertical="center"/>
    </xf>
    <xf numFmtId="0" fontId="7" fillId="16" borderId="68" xfId="0" applyFont="1" applyFill="1" applyBorder="1" applyAlignment="1">
      <alignment horizontal="center" vertical="center"/>
    </xf>
    <xf numFmtId="0" fontId="2" fillId="16" borderId="8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12" xfId="0" applyFont="1" applyBorder="1" applyAlignment="1">
      <alignment horizontal="center"/>
    </xf>
    <xf numFmtId="0" fontId="8" fillId="0" borderId="113" xfId="0" applyFont="1" applyBorder="1" applyAlignment="1">
      <alignment horizontal="center"/>
    </xf>
    <xf numFmtId="0" fontId="8" fillId="0" borderId="114" xfId="0" applyFont="1" applyBorder="1" applyAlignment="1">
      <alignment horizontal="center"/>
    </xf>
    <xf numFmtId="0" fontId="2" fillId="0" borderId="77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09" xfId="0" applyFont="1" applyBorder="1" applyAlignment="1">
      <alignment horizontal="center" vertical="center" wrapText="1"/>
    </xf>
    <xf numFmtId="0" fontId="2" fillId="0" borderId="110" xfId="0" applyFont="1" applyBorder="1" applyAlignment="1">
      <alignment horizontal="center" vertical="center" wrapText="1"/>
    </xf>
    <xf numFmtId="0" fontId="2" fillId="0" borderId="111" xfId="0" applyFont="1" applyBorder="1" applyAlignment="1">
      <alignment horizontal="center" vertical="center" wrapText="1"/>
    </xf>
    <xf numFmtId="164" fontId="2" fillId="0" borderId="58" xfId="2" applyFont="1" applyBorder="1" applyAlignment="1">
      <alignment horizontal="left" vertical="center" wrapText="1"/>
    </xf>
    <xf numFmtId="164" fontId="2" fillId="0" borderId="59" xfId="2" applyFont="1" applyBorder="1" applyAlignment="1">
      <alignment horizontal="left" vertical="center" wrapText="1"/>
    </xf>
    <xf numFmtId="164" fontId="2" fillId="0" borderId="39" xfId="2" applyFont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17" fontId="15" fillId="0" borderId="8" xfId="0" applyNumberFormat="1" applyFont="1" applyBorder="1" applyAlignment="1">
      <alignment horizontal="center" vertical="center"/>
    </xf>
    <xf numFmtId="17" fontId="15" fillId="0" borderId="2" xfId="0" applyNumberFormat="1" applyFont="1" applyBorder="1" applyAlignment="1">
      <alignment horizontal="center" vertical="center"/>
    </xf>
    <xf numFmtId="17" fontId="15" fillId="0" borderId="115" xfId="0" applyNumberFormat="1" applyFont="1" applyBorder="1" applyAlignment="1">
      <alignment horizontal="center" vertical="center"/>
    </xf>
    <xf numFmtId="17" fontId="15" fillId="0" borderId="116" xfId="0" applyNumberFormat="1" applyFont="1" applyBorder="1" applyAlignment="1">
      <alignment horizontal="center" vertical="center"/>
    </xf>
    <xf numFmtId="17" fontId="15" fillId="0" borderId="117" xfId="0" applyNumberFormat="1" applyFont="1" applyBorder="1" applyAlignment="1">
      <alignment horizontal="center" vertical="center"/>
    </xf>
    <xf numFmtId="17" fontId="15" fillId="0" borderId="118" xfId="0" applyNumberFormat="1" applyFont="1" applyBorder="1" applyAlignment="1">
      <alignment horizontal="center" vertical="center"/>
    </xf>
    <xf numFmtId="0" fontId="2" fillId="6" borderId="119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2" fillId="6" borderId="120" xfId="0" applyFont="1" applyFill="1" applyBorder="1" applyAlignment="1">
      <alignment horizontal="center" vertical="center"/>
    </xf>
    <xf numFmtId="0" fontId="9" fillId="6" borderId="86" xfId="0" applyFont="1" applyFill="1" applyBorder="1" applyAlignment="1">
      <alignment horizontal="center" vertical="center"/>
    </xf>
    <xf numFmtId="17" fontId="15" fillId="0" borderId="0" xfId="0" applyNumberFormat="1" applyFont="1" applyBorder="1" applyAlignment="1">
      <alignment horizontal="center" vertical="center"/>
    </xf>
    <xf numFmtId="0" fontId="2" fillId="16" borderId="121" xfId="0" applyFont="1" applyFill="1" applyBorder="1" applyAlignment="1">
      <alignment horizontal="center" vertical="center"/>
    </xf>
    <xf numFmtId="0" fontId="2" fillId="16" borderId="119" xfId="0" applyFont="1" applyFill="1" applyBorder="1" applyAlignment="1">
      <alignment horizontal="center" vertical="center"/>
    </xf>
    <xf numFmtId="0" fontId="2" fillId="16" borderId="109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86" xfId="0" applyFont="1" applyFill="1" applyBorder="1" applyAlignment="1">
      <alignment horizontal="center" vertical="center"/>
    </xf>
    <xf numFmtId="0" fontId="3" fillId="12" borderId="86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20" fillId="6" borderId="86" xfId="0" applyFont="1" applyFill="1" applyBorder="1" applyAlignment="1">
      <alignment horizontal="center" vertical="center"/>
    </xf>
    <xf numFmtId="0" fontId="18" fillId="6" borderId="91" xfId="0" applyFont="1" applyFill="1" applyBorder="1" applyAlignment="1">
      <alignment horizontal="center" vertical="center"/>
    </xf>
    <xf numFmtId="164" fontId="20" fillId="0" borderId="20" xfId="2" applyFont="1" applyBorder="1" applyAlignment="1">
      <alignment horizontal="center" vertical="top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Sickness  Rate Overall_SRB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'01_2026'!$H$76</c:f>
              <c:strCache>
                <c:ptCount val="1"/>
                <c:pt idx="0">
                  <c:v>Sick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'01_2026'!$I$74:$AM$74</c15:sqref>
                  </c15:fullRef>
                </c:ext>
              </c:extLst>
              <c:f>('01_2026'!$I$74:$M$74,'01_2026'!$P$74:$T$74,'01_2026'!$W$74:$AM$74)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'01_2026'!$I$76:$AM$76</c15:sqref>
                  </c15:fullRef>
                </c:ext>
              </c:extLst>
              <c:f>('01_2026'!$I$76:$M$76,'01_2026'!$P$76:$T$76,'01_2026'!$W$76:$AM$76)</c:f>
              <c:numCache>
                <c:formatCode>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6.5217391304347824E-2</c:v>
                </c:pt>
                <c:pt idx="10">
                  <c:v>6.5217391304347824E-2</c:v>
                </c:pt>
                <c:pt idx="11">
                  <c:v>2.1739130434782608E-2</c:v>
                </c:pt>
                <c:pt idx="12">
                  <c:v>0</c:v>
                </c:pt>
                <c:pt idx="13">
                  <c:v>0</c:v>
                </c:pt>
                <c:pt idx="14">
                  <c:v>2.2222222222222223E-2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2.2222222222222223E-2</c:v>
                </c:pt>
                <c:pt idx="22">
                  <c:v>2.2222222222222223E-2</c:v>
                </c:pt>
                <c:pt idx="23">
                  <c:v>2.2222222222222223E-2</c:v>
                </c:pt>
                <c:pt idx="24">
                  <c:v>2.2222222222222223E-2</c:v>
                </c:pt>
                <c:pt idx="25">
                  <c:v>2.2222222222222223E-2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D-4DE6-A98C-CE7536500C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7541184"/>
        <c:axId val="377548384"/>
      </c:lineChart>
      <c:catAx>
        <c:axId val="37754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548384"/>
        <c:crosses val="autoZero"/>
        <c:auto val="1"/>
        <c:lblAlgn val="ctr"/>
        <c:lblOffset val="100"/>
        <c:noMultiLvlLbl val="0"/>
      </c:catAx>
      <c:valAx>
        <c:axId val="37754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754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Sickness Rate Overall _SRB_February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'02_2026'!$H$74</c:f>
              <c:strCache>
                <c:ptCount val="1"/>
                <c:pt idx="0">
                  <c:v>Sick Rate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'02_2026'!$I$72:$AJ$72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'02_2026'!$I$74:$AJ$74</c:f>
              <c:numCache>
                <c:formatCode>0%</c:formatCode>
                <c:ptCount val="28"/>
                <c:pt idx="0">
                  <c:v>0</c:v>
                </c:pt>
                <c:pt idx="1">
                  <c:v>4.2553191489361701E-2</c:v>
                </c:pt>
                <c:pt idx="2">
                  <c:v>8.5106382978723402E-2</c:v>
                </c:pt>
                <c:pt idx="3">
                  <c:v>6.3829787234042548E-2</c:v>
                </c:pt>
                <c:pt idx="4">
                  <c:v>6.3829787234042548E-2</c:v>
                </c:pt>
                <c:pt idx="5">
                  <c:v>8.5106382978723402E-2</c:v>
                </c:pt>
                <c:pt idx="6">
                  <c:v>0</c:v>
                </c:pt>
                <c:pt idx="7">
                  <c:v>0</c:v>
                </c:pt>
                <c:pt idx="8">
                  <c:v>8.5106382978723402E-2</c:v>
                </c:pt>
                <c:pt idx="9">
                  <c:v>0.1276595744680851</c:v>
                </c:pt>
                <c:pt idx="10">
                  <c:v>0.1276595744680851</c:v>
                </c:pt>
                <c:pt idx="11">
                  <c:v>0.10638297872340426</c:v>
                </c:pt>
                <c:pt idx="12">
                  <c:v>0.1276595744680851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0.10638297872340426</c:v>
                </c:pt>
                <c:pt idx="18">
                  <c:v>0.1276595744680851</c:v>
                </c:pt>
                <c:pt idx="19">
                  <c:v>0.1276595744680851</c:v>
                </c:pt>
                <c:pt idx="20">
                  <c:v>3.5714285714285712E-2</c:v>
                </c:pt>
                <c:pt idx="21">
                  <c:v>0</c:v>
                </c:pt>
                <c:pt idx="22">
                  <c:v>0.1276595744680851</c:v>
                </c:pt>
                <c:pt idx="23">
                  <c:v>0.14893617021276595</c:v>
                </c:pt>
                <c:pt idx="24">
                  <c:v>0.14893617021276595</c:v>
                </c:pt>
                <c:pt idx="25">
                  <c:v>0.14893617021276595</c:v>
                </c:pt>
                <c:pt idx="26">
                  <c:v>0.15217391304347827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D0-4481-8C41-54FC852799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3910624"/>
        <c:axId val="1433911104"/>
      </c:lineChart>
      <c:catAx>
        <c:axId val="14339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3911104"/>
        <c:crosses val="autoZero"/>
        <c:auto val="1"/>
        <c:lblAlgn val="ctr"/>
        <c:lblOffset val="100"/>
        <c:noMultiLvlLbl val="0"/>
      </c:catAx>
      <c:valAx>
        <c:axId val="14339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39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Sickness Rate Overall _SRB_March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'03_2026'!$H$73</c:f>
              <c:strCache>
                <c:ptCount val="1"/>
                <c:pt idx="0">
                  <c:v> Sick Rate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'03_2026'!$I$71:$AL$71</c15:sqref>
                  </c15:fullRef>
                </c:ext>
              </c:extLst>
              <c:f>('03_2026'!$I$71:$M$71,'03_2026'!$P$71:$T$71,'03_2026'!$W$71:$AA$71,'03_2026'!$AD$71:$AH$71,'03_2026'!$AK$71:$AL$71)</c:f>
              <c:numCache>
                <c:formatCode>General</c:formatCode>
                <c:ptCount val="2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24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30</c:v>
                </c:pt>
                <c:pt idx="21">
                  <c:v>31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'03_2026'!$I$73:$AL$73</c15:sqref>
                  </c15:fullRef>
                </c:ext>
              </c:extLst>
              <c:f>('03_2026'!$I$73:$M$73,'03_2026'!$P$73:$T$73,'03_2026'!$W$73:$AA$73,'03_2026'!$AD$73:$AH$73,'03_2026'!$AK$73:$AL$73)</c:f>
              <c:numCache>
                <c:formatCode>0%</c:formatCode>
                <c:ptCount val="22"/>
                <c:pt idx="0">
                  <c:v>9.5238095238095233E-2</c:v>
                </c:pt>
                <c:pt idx="1">
                  <c:v>7.1428571428571425E-2</c:v>
                </c:pt>
                <c:pt idx="2">
                  <c:v>9.5238095238095233E-2</c:v>
                </c:pt>
                <c:pt idx="3">
                  <c:v>0.10526315789473684</c:v>
                </c:pt>
                <c:pt idx="4">
                  <c:v>0.12820512820512819</c:v>
                </c:pt>
                <c:pt idx="5">
                  <c:v>0.10256410256410256</c:v>
                </c:pt>
                <c:pt idx="6">
                  <c:v>7.3170731707317069E-2</c:v>
                </c:pt>
                <c:pt idx="7">
                  <c:v>7.3170731707317069E-2</c:v>
                </c:pt>
                <c:pt idx="8">
                  <c:v>7.4999999999999997E-2</c:v>
                </c:pt>
                <c:pt idx="9">
                  <c:v>0.1</c:v>
                </c:pt>
                <c:pt idx="10">
                  <c:v>0.125</c:v>
                </c:pt>
                <c:pt idx="11">
                  <c:v>0.125</c:v>
                </c:pt>
                <c:pt idx="12">
                  <c:v>0.125</c:v>
                </c:pt>
                <c:pt idx="13">
                  <c:v>0.125</c:v>
                </c:pt>
                <c:pt idx="14">
                  <c:v>0.125</c:v>
                </c:pt>
                <c:pt idx="15">
                  <c:v>4.6511627906976744E-2</c:v>
                </c:pt>
                <c:pt idx="16">
                  <c:v>4.6511627906976744E-2</c:v>
                </c:pt>
                <c:pt idx="17">
                  <c:v>4.7619047619047616E-2</c:v>
                </c:pt>
                <c:pt idx="18">
                  <c:v>4.6511627906976744E-2</c:v>
                </c:pt>
                <c:pt idx="19">
                  <c:v>2.2857142857142857E-2</c:v>
                </c:pt>
                <c:pt idx="20">
                  <c:v>4.6511627906976744E-2</c:v>
                </c:pt>
                <c:pt idx="21">
                  <c:v>2.3255813953488372E-2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2-46ED-9D9D-61BB4535F5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3910624"/>
        <c:axId val="1433911104"/>
      </c:lineChart>
      <c:catAx>
        <c:axId val="143391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3911104"/>
        <c:crosses val="autoZero"/>
        <c:auto val="1"/>
        <c:lblAlgn val="ctr"/>
        <c:lblOffset val="100"/>
        <c:noMultiLvlLbl val="0"/>
      </c:catAx>
      <c:valAx>
        <c:axId val="143391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39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Sick Rate_SRB_</a:t>
            </a:r>
            <a:r>
              <a:rPr lang="en-US" b="1" baseline="0"/>
              <a:t> </a:t>
            </a:r>
            <a:r>
              <a:rPr lang="en-US" b="1"/>
              <a:t>April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'04_2026'!$H$72</c:f>
              <c:strCache>
                <c:ptCount val="1"/>
                <c:pt idx="0">
                  <c:v> Sick Rate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'04_2026'!$I$70:$AL$70</c15:sqref>
                  </c15:fullRef>
                </c:ext>
              </c:extLst>
              <c:f>('04_2026'!$I$70:$K$70,'04_2026'!$N$70:$AL$70)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'04_2026'!$I$72:$AL$72</c15:sqref>
                  </c15:fullRef>
                </c:ext>
              </c:extLst>
              <c:f>('04_2026'!$I$72:$K$72,'04_2026'!$N$72:$AL$72)</c:f>
              <c:numCache>
                <c:formatCode>0%</c:formatCode>
                <c:ptCount val="28"/>
                <c:pt idx="0">
                  <c:v>2.2222222222222223E-2</c:v>
                </c:pt>
                <c:pt idx="1">
                  <c:v>2.2222222222222223E-2</c:v>
                </c:pt>
                <c:pt idx="2">
                  <c:v>2.2222222222222223E-2</c:v>
                </c:pt>
                <c:pt idx="3">
                  <c:v>4.4444444444444446E-2</c:v>
                </c:pt>
                <c:pt idx="4">
                  <c:v>4.4444444444444446E-2</c:v>
                </c:pt>
                <c:pt idx="5">
                  <c:v>4.4444444444444446E-2</c:v>
                </c:pt>
                <c:pt idx="6">
                  <c:v>4.4444444444444446E-2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2.2222222222222223E-2</c:v>
                </c:pt>
                <c:pt idx="12">
                  <c:v>2.2222222222222223E-2</c:v>
                </c:pt>
                <c:pt idx="13">
                  <c:v>2.2222222222222223E-2</c:v>
                </c:pt>
                <c:pt idx="14">
                  <c:v>2.2222222222222223E-2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8-4248-8E08-42A76A0EC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709839"/>
        <c:axId val="896023439"/>
      </c:lineChart>
      <c:catAx>
        <c:axId val="21057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6023439"/>
        <c:crosses val="autoZero"/>
        <c:auto val="1"/>
        <c:lblAlgn val="ctr"/>
        <c:lblOffset val="100"/>
        <c:noMultiLvlLbl val="0"/>
      </c:catAx>
      <c:valAx>
        <c:axId val="89602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57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111405</xdr:colOff>
      <xdr:row>79</xdr:row>
      <xdr:rowOff>123654</xdr:rowOff>
    </xdr:from>
    <xdr:to>
      <xdr:col>44</xdr:col>
      <xdr:colOff>902154</xdr:colOff>
      <xdr:row>96</xdr:row>
      <xdr:rowOff>43543</xdr:rowOff>
    </xdr:to>
    <xdr:graphicFrame macro="">
      <xdr:nvGraphicFramePr>
        <xdr:cNvPr id="9" name="Grafico 1">
          <a:extLst>
            <a:ext uri="{FF2B5EF4-FFF2-40B4-BE49-F238E27FC236}">
              <a16:creationId xmlns:a16="http://schemas.microsoft.com/office/drawing/2014/main" id="{3D6BC678-2662-AD27-28F7-880009CC4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90488</xdr:colOff>
      <xdr:row>76</xdr:row>
      <xdr:rowOff>139302</xdr:rowOff>
    </xdr:from>
    <xdr:to>
      <xdr:col>37</xdr:col>
      <xdr:colOff>571500</xdr:colOff>
      <xdr:row>94</xdr:row>
      <xdr:rowOff>107155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D59F0A7-A1EC-5BA6-D659-96D70271B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90488</xdr:colOff>
      <xdr:row>75</xdr:row>
      <xdr:rowOff>139302</xdr:rowOff>
    </xdr:from>
    <xdr:to>
      <xdr:col>39</xdr:col>
      <xdr:colOff>571500</xdr:colOff>
      <xdr:row>93</xdr:row>
      <xdr:rowOff>107155</xdr:rowOff>
    </xdr:to>
    <xdr:graphicFrame macro="">
      <xdr:nvGraphicFramePr>
        <xdr:cNvPr id="5" name="Grafico 1">
          <a:extLst>
            <a:ext uri="{FF2B5EF4-FFF2-40B4-BE49-F238E27FC236}">
              <a16:creationId xmlns:a16="http://schemas.microsoft.com/office/drawing/2014/main" id="{8408C87B-AE34-4DAA-B584-1FCBE21F1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280987</xdr:colOff>
      <xdr:row>75</xdr:row>
      <xdr:rowOff>19050</xdr:rowOff>
    </xdr:from>
    <xdr:to>
      <xdr:col>35</xdr:col>
      <xdr:colOff>76200</xdr:colOff>
      <xdr:row>89</xdr:row>
      <xdr:rowOff>95250</xdr:rowOff>
    </xdr:to>
    <xdr:graphicFrame macro="">
      <xdr:nvGraphicFramePr>
        <xdr:cNvPr id="12" name="Grafico 2">
          <a:extLst>
            <a:ext uri="{FF2B5EF4-FFF2-40B4-BE49-F238E27FC236}">
              <a16:creationId xmlns:a16="http://schemas.microsoft.com/office/drawing/2014/main" id="{A12A8AA1-1412-393A-EB75-0A0464963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ladan Pejacki" id="{FD2245E1-5C70-45DB-B01D-E070AF036BB3}" userId="S::vladan.pejacki@policartsrb.com::7493c61f-a1c4-4957-91cb-8a275a469c3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C39" dT="2026-01-22T07:03:59.71" personId="{FD2245E1-5C70-45DB-B01D-E070AF036BB3}" id="{99367C32-BCD5-4D23-B030-FB5CE6A7F992}">
    <text>Opomena zbog nedolaska na posao</text>
  </threadedComment>
  <threadedComment ref="AB58" dT="2026-01-22T07:03:22.75" personId="{FD2245E1-5C70-45DB-B01D-E070AF036BB3}" id="{55A06260-3D1E-4994-A90D-1A7D46FD1A03}">
    <text>Opomena zbog nedolaska na posao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C8A6-7504-47B0-9D5B-87B830F88902}">
  <sheetPr codeName="Sheet1"/>
  <dimension ref="A1:BC89"/>
  <sheetViews>
    <sheetView zoomScale="70" zoomScaleNormal="70" workbookViewId="0">
      <pane xSplit="8" ySplit="5" topLeftCell="AK7" activePane="bottomRight" state="frozen"/>
      <selection pane="topRight"/>
      <selection pane="bottomLeft"/>
      <selection pane="bottomRight" activeCell="AO65" activeCellId="2" sqref="AO16:AO59 AN61 AO65"/>
    </sheetView>
  </sheetViews>
  <sheetFormatPr defaultRowHeight="14.4" x14ac:dyDescent="0.3"/>
  <cols>
    <col min="2" max="2" width="21.5546875" bestFit="1" customWidth="1"/>
    <col min="3" max="3" width="28.5546875" bestFit="1" customWidth="1"/>
    <col min="4" max="4" width="28.5546875" customWidth="1"/>
    <col min="5" max="7" width="8.77734375" customWidth="1"/>
    <col min="8" max="8" width="13.77734375" bestFit="1" customWidth="1"/>
    <col min="9" max="10" width="6.77734375" bestFit="1" customWidth="1"/>
    <col min="11" max="21" width="4.77734375" customWidth="1"/>
    <col min="22" max="22" width="6.77734375" customWidth="1"/>
    <col min="23" max="23" width="4.77734375" customWidth="1"/>
    <col min="24" max="24" width="6.44140625" customWidth="1"/>
    <col min="25" max="28" width="4.77734375" customWidth="1"/>
    <col min="29" max="29" width="6.5546875" customWidth="1"/>
    <col min="30" max="37" width="4.77734375" customWidth="1"/>
    <col min="38" max="38" width="7" customWidth="1"/>
    <col min="39" max="39" width="9.44140625" customWidth="1"/>
    <col min="40" max="40" width="9.21875" customWidth="1"/>
    <col min="45" max="45" width="17" bestFit="1" customWidth="1"/>
  </cols>
  <sheetData>
    <row r="1" spans="1:55" ht="15" thickBot="1" x14ac:dyDescent="0.35"/>
    <row r="2" spans="1:55" ht="15" thickBot="1" x14ac:dyDescent="0.35">
      <c r="E2" s="339" t="s">
        <v>0</v>
      </c>
      <c r="F2" s="340"/>
      <c r="G2" s="340"/>
      <c r="H2" s="341"/>
      <c r="AK2" s="14"/>
      <c r="AM2" s="14"/>
    </row>
    <row r="3" spans="1:55" x14ac:dyDescent="0.3">
      <c r="A3" s="342" t="s">
        <v>1</v>
      </c>
      <c r="B3" s="333" t="s">
        <v>2</v>
      </c>
      <c r="C3" s="336" t="s">
        <v>3</v>
      </c>
      <c r="D3" s="336" t="s">
        <v>4</v>
      </c>
      <c r="E3" s="346" t="s">
        <v>5</v>
      </c>
      <c r="F3" s="349" t="s">
        <v>6</v>
      </c>
      <c r="G3" s="349" t="s">
        <v>7</v>
      </c>
      <c r="H3" s="352" t="s">
        <v>8</v>
      </c>
      <c r="I3" s="332" t="s">
        <v>9</v>
      </c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00" t="s">
        <v>10</v>
      </c>
      <c r="AO3" s="303" t="s">
        <v>11</v>
      </c>
      <c r="AP3" s="300" t="s">
        <v>12</v>
      </c>
      <c r="AR3" s="307" t="s">
        <v>1</v>
      </c>
      <c r="AS3" s="309" t="s">
        <v>2</v>
      </c>
      <c r="AT3" s="296" t="s">
        <v>3</v>
      </c>
      <c r="AU3" s="289" t="s">
        <v>13</v>
      </c>
      <c r="AV3" s="289" t="s">
        <v>12</v>
      </c>
      <c r="AW3" s="289" t="s">
        <v>14</v>
      </c>
      <c r="AX3" s="289" t="s">
        <v>15</v>
      </c>
      <c r="AY3" s="287" t="s">
        <v>16</v>
      </c>
      <c r="AZ3" s="287" t="s">
        <v>16</v>
      </c>
      <c r="BA3" s="289" t="s">
        <v>17</v>
      </c>
      <c r="BB3" s="291" t="s">
        <v>17</v>
      </c>
      <c r="BC3" s="293" t="s">
        <v>18</v>
      </c>
    </row>
    <row r="4" spans="1:55" x14ac:dyDescent="0.3">
      <c r="A4" s="343"/>
      <c r="B4" s="335"/>
      <c r="C4" s="337"/>
      <c r="D4" s="337"/>
      <c r="E4" s="347"/>
      <c r="F4" s="350"/>
      <c r="G4" s="350"/>
      <c r="H4" s="301"/>
      <c r="I4" s="334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5"/>
      <c r="AG4" s="335"/>
      <c r="AH4" s="335"/>
      <c r="AI4" s="335"/>
      <c r="AJ4" s="335"/>
      <c r="AK4" s="335"/>
      <c r="AL4" s="335"/>
      <c r="AM4" s="335"/>
      <c r="AN4" s="301"/>
      <c r="AO4" s="304"/>
      <c r="AP4" s="301"/>
      <c r="AR4" s="308"/>
      <c r="AS4" s="310"/>
      <c r="AT4" s="297"/>
      <c r="AU4" s="290"/>
      <c r="AV4" s="290"/>
      <c r="AW4" s="290"/>
      <c r="AX4" s="290"/>
      <c r="AY4" s="288"/>
      <c r="AZ4" s="288"/>
      <c r="BA4" s="290"/>
      <c r="BB4" s="292"/>
      <c r="BC4" s="294"/>
    </row>
    <row r="5" spans="1:55" ht="15" thickBot="1" x14ac:dyDescent="0.35">
      <c r="A5" s="344"/>
      <c r="B5" s="345"/>
      <c r="C5" s="338"/>
      <c r="D5" s="338"/>
      <c r="E5" s="348"/>
      <c r="F5" s="351"/>
      <c r="G5" s="351"/>
      <c r="H5" s="306"/>
      <c r="I5" s="87">
        <v>1</v>
      </c>
      <c r="J5" s="88">
        <v>2</v>
      </c>
      <c r="K5" s="88">
        <v>3</v>
      </c>
      <c r="L5" s="88">
        <v>4</v>
      </c>
      <c r="M5" s="88">
        <v>5</v>
      </c>
      <c r="N5" s="88">
        <v>6</v>
      </c>
      <c r="O5" s="88">
        <v>7</v>
      </c>
      <c r="P5" s="88">
        <v>8</v>
      </c>
      <c r="Q5" s="88">
        <v>9</v>
      </c>
      <c r="R5" s="88">
        <v>10</v>
      </c>
      <c r="S5" s="88">
        <v>11</v>
      </c>
      <c r="T5" s="88">
        <v>12</v>
      </c>
      <c r="U5" s="88">
        <v>13</v>
      </c>
      <c r="V5" s="88">
        <v>14</v>
      </c>
      <c r="W5" s="88">
        <v>15</v>
      </c>
      <c r="X5" s="88">
        <v>16</v>
      </c>
      <c r="Y5" s="88">
        <v>17</v>
      </c>
      <c r="Z5" s="88">
        <v>18</v>
      </c>
      <c r="AA5" s="88">
        <v>19</v>
      </c>
      <c r="AB5" s="88">
        <v>20</v>
      </c>
      <c r="AC5" s="88">
        <v>21</v>
      </c>
      <c r="AD5" s="88">
        <v>22</v>
      </c>
      <c r="AE5" s="88">
        <v>23</v>
      </c>
      <c r="AF5" s="89">
        <v>24</v>
      </c>
      <c r="AG5" s="89">
        <v>25</v>
      </c>
      <c r="AH5" s="88">
        <v>26</v>
      </c>
      <c r="AI5" s="88">
        <v>27</v>
      </c>
      <c r="AJ5" s="88">
        <v>28</v>
      </c>
      <c r="AK5" s="88">
        <v>29</v>
      </c>
      <c r="AL5" s="88">
        <v>30</v>
      </c>
      <c r="AM5" s="90">
        <v>31</v>
      </c>
      <c r="AN5" s="306"/>
      <c r="AO5" s="305"/>
      <c r="AP5" s="306"/>
      <c r="AR5" s="308"/>
      <c r="AS5" s="310"/>
      <c r="AT5" s="297"/>
      <c r="AU5" s="290"/>
      <c r="AV5" s="290"/>
      <c r="AW5" s="290"/>
      <c r="AX5" s="290"/>
      <c r="AY5" s="288"/>
      <c r="AZ5" s="288"/>
      <c r="BA5" s="290"/>
      <c r="BB5" s="292"/>
      <c r="BC5" s="295"/>
    </row>
    <row r="6" spans="1:55" ht="15" thickBot="1" x14ac:dyDescent="0.35">
      <c r="A6" s="112">
        <v>1</v>
      </c>
      <c r="B6" s="107" t="s">
        <v>19</v>
      </c>
      <c r="C6" s="77" t="s">
        <v>20</v>
      </c>
      <c r="D6" s="77" t="s">
        <v>20</v>
      </c>
      <c r="E6" s="78">
        <v>0</v>
      </c>
      <c r="F6" s="79">
        <v>1</v>
      </c>
      <c r="G6" s="78">
        <f>2*1.666</f>
        <v>3.3319999999999999</v>
      </c>
      <c r="H6" s="78">
        <f>G6-F6</f>
        <v>2.3319999999999999</v>
      </c>
      <c r="I6" s="80"/>
      <c r="J6" s="80"/>
      <c r="K6" s="97"/>
      <c r="L6" s="97"/>
      <c r="M6" s="80"/>
      <c r="N6" s="82"/>
      <c r="O6" s="82"/>
      <c r="P6" s="80" t="s">
        <v>21</v>
      </c>
      <c r="Q6" s="80" t="s">
        <v>21</v>
      </c>
      <c r="R6" s="97"/>
      <c r="S6" s="97"/>
      <c r="T6" s="80">
        <v>8</v>
      </c>
      <c r="U6" s="80">
        <v>8</v>
      </c>
      <c r="V6" s="80">
        <v>8</v>
      </c>
      <c r="W6" s="80">
        <v>8</v>
      </c>
      <c r="X6" s="80">
        <v>8</v>
      </c>
      <c r="Y6" s="81"/>
      <c r="Z6" s="81"/>
      <c r="AA6" s="80">
        <v>8</v>
      </c>
      <c r="AB6" s="80">
        <v>8</v>
      </c>
      <c r="AC6" s="80">
        <v>8</v>
      </c>
      <c r="AD6" s="80">
        <v>8</v>
      </c>
      <c r="AE6" s="82">
        <v>8</v>
      </c>
      <c r="AF6" s="81"/>
      <c r="AG6" s="81"/>
      <c r="AH6" s="82">
        <v>8</v>
      </c>
      <c r="AI6" s="82">
        <v>8</v>
      </c>
      <c r="AJ6" s="82">
        <v>8</v>
      </c>
      <c r="AK6" s="82">
        <v>8</v>
      </c>
      <c r="AL6" s="82">
        <v>8</v>
      </c>
      <c r="AM6" s="83"/>
      <c r="AN6" s="98">
        <f>22*8</f>
        <v>176</v>
      </c>
      <c r="AO6" s="84">
        <f>SUM(I6:AM6)</f>
        <v>120</v>
      </c>
      <c r="AP6" s="84">
        <f t="shared" ref="AP6:AP55" si="0">AO6-AN6</f>
        <v>-56</v>
      </c>
      <c r="AQ6" s="24"/>
      <c r="AR6" s="64">
        <f t="shared" ref="AR6:AT11" si="1">A6</f>
        <v>1</v>
      </c>
      <c r="AS6" s="77" t="str">
        <f t="shared" si="1"/>
        <v>Pejački Vladan</v>
      </c>
      <c r="AT6" s="77" t="str">
        <f t="shared" si="1"/>
        <v>Direktor</v>
      </c>
      <c r="AU6" s="99">
        <v>23</v>
      </c>
      <c r="AV6" s="100"/>
      <c r="AW6" s="100"/>
      <c r="AX6" s="100"/>
      <c r="AY6" s="35">
        <f>COUNTIF(K6:AM6,"bo")</f>
        <v>0</v>
      </c>
      <c r="AZ6" s="101"/>
      <c r="BA6" s="35">
        <f>(COUNTIF(K6:AM6,"go")*8+COUNTIF(K6:AM6,"sd")*8)/8</f>
        <v>2</v>
      </c>
      <c r="BB6" s="102"/>
      <c r="BC6" s="25"/>
    </row>
    <row r="7" spans="1:55" ht="15" thickBot="1" x14ac:dyDescent="0.35">
      <c r="A7" s="113">
        <v>2</v>
      </c>
      <c r="B7" s="108" t="s">
        <v>22</v>
      </c>
      <c r="C7" s="38" t="s">
        <v>23</v>
      </c>
      <c r="D7" s="38" t="s">
        <v>24</v>
      </c>
      <c r="E7" s="12">
        <v>0</v>
      </c>
      <c r="F7" s="48">
        <v>3</v>
      </c>
      <c r="G7" s="12">
        <f>12*1.666</f>
        <v>19.991999999999997</v>
      </c>
      <c r="H7" s="12">
        <f t="shared" ref="H7:H58" si="2">G7-F7</f>
        <v>16.991999999999997</v>
      </c>
      <c r="I7" s="18"/>
      <c r="J7" s="18"/>
      <c r="K7" s="49"/>
      <c r="L7" s="49"/>
      <c r="M7" s="18"/>
      <c r="N7" s="15"/>
      <c r="O7" s="15"/>
      <c r="P7" s="80" t="s">
        <v>21</v>
      </c>
      <c r="Q7" s="80" t="s">
        <v>21</v>
      </c>
      <c r="R7" s="49"/>
      <c r="S7" s="49"/>
      <c r="T7" s="18">
        <v>8</v>
      </c>
      <c r="U7" s="18">
        <v>8</v>
      </c>
      <c r="V7" s="18">
        <v>8</v>
      </c>
      <c r="W7" s="18">
        <v>8</v>
      </c>
      <c r="X7" s="18">
        <v>8</v>
      </c>
      <c r="Y7" s="41"/>
      <c r="Z7" s="41"/>
      <c r="AA7" s="18">
        <v>8</v>
      </c>
      <c r="AB7" s="18">
        <v>8</v>
      </c>
      <c r="AC7" s="18">
        <v>8</v>
      </c>
      <c r="AD7" s="18">
        <v>8</v>
      </c>
      <c r="AE7" s="15">
        <v>8</v>
      </c>
      <c r="AF7" s="41"/>
      <c r="AG7" s="41"/>
      <c r="AH7" s="82">
        <v>8</v>
      </c>
      <c r="AI7" s="82">
        <v>8</v>
      </c>
      <c r="AJ7" s="82">
        <v>8</v>
      </c>
      <c r="AK7" s="82">
        <v>8</v>
      </c>
      <c r="AL7" s="82">
        <v>8</v>
      </c>
      <c r="AM7" s="59">
        <v>8</v>
      </c>
      <c r="AN7" s="75">
        <f t="shared" ref="AN7:AN64" si="3">22*8</f>
        <v>176</v>
      </c>
      <c r="AO7" s="4">
        <f t="shared" ref="AO7:AO58" si="4">SUM(I7:AM7)</f>
        <v>128</v>
      </c>
      <c r="AP7" s="4">
        <f t="shared" si="0"/>
        <v>-48</v>
      </c>
      <c r="AQ7" s="22"/>
      <c r="AR7" s="65">
        <f t="shared" si="1"/>
        <v>2</v>
      </c>
      <c r="AS7" s="38" t="str">
        <f t="shared" si="1"/>
        <v>Nikola Rajić</v>
      </c>
      <c r="AT7" s="38" t="str">
        <f t="shared" si="1"/>
        <v>Menadžer proizvodnje</v>
      </c>
      <c r="AU7" s="91">
        <v>23</v>
      </c>
      <c r="AV7" s="94"/>
      <c r="AW7" s="92"/>
      <c r="AX7" s="92"/>
      <c r="AY7" s="36">
        <f>COUNTIF(K7:AM7,"bo")</f>
        <v>0</v>
      </c>
      <c r="AZ7" s="93"/>
      <c r="BA7" s="36">
        <f>(COUNTIF(K7:AM7,"go")*8+COUNTIF(K7:AM7,"sd")*8)/8</f>
        <v>2</v>
      </c>
      <c r="BB7" s="94"/>
      <c r="BC7" s="23"/>
    </row>
    <row r="8" spans="1:55" ht="15" thickBot="1" x14ac:dyDescent="0.35">
      <c r="A8" s="112">
        <v>3</v>
      </c>
      <c r="B8" s="108" t="s">
        <v>25</v>
      </c>
      <c r="C8" s="38" t="s">
        <v>26</v>
      </c>
      <c r="D8" s="38" t="s">
        <v>27</v>
      </c>
      <c r="E8" s="12">
        <v>0</v>
      </c>
      <c r="F8" s="48">
        <v>11</v>
      </c>
      <c r="G8" s="12">
        <f>8*2</f>
        <v>16</v>
      </c>
      <c r="H8" s="12">
        <f t="shared" si="2"/>
        <v>5</v>
      </c>
      <c r="I8" s="18"/>
      <c r="J8" s="18"/>
      <c r="K8" s="49"/>
      <c r="L8" s="49"/>
      <c r="M8" s="18"/>
      <c r="N8" s="15"/>
      <c r="O8" s="15"/>
      <c r="P8" s="80" t="s">
        <v>21</v>
      </c>
      <c r="Q8" s="80" t="s">
        <v>21</v>
      </c>
      <c r="R8" s="49"/>
      <c r="S8" s="49"/>
      <c r="T8" s="18">
        <v>8</v>
      </c>
      <c r="U8" s="18">
        <v>8</v>
      </c>
      <c r="V8" s="18">
        <v>8</v>
      </c>
      <c r="W8" s="18">
        <v>8</v>
      </c>
      <c r="X8" s="18">
        <v>8</v>
      </c>
      <c r="Y8" s="41"/>
      <c r="Z8" s="41"/>
      <c r="AA8" s="18">
        <v>8</v>
      </c>
      <c r="AB8" s="18">
        <v>8</v>
      </c>
      <c r="AC8" s="18">
        <v>8</v>
      </c>
      <c r="AD8" s="18">
        <v>8</v>
      </c>
      <c r="AE8" s="15">
        <v>8</v>
      </c>
      <c r="AF8" s="41"/>
      <c r="AG8" s="41"/>
      <c r="AH8" s="82">
        <v>8</v>
      </c>
      <c r="AI8" s="82">
        <v>8</v>
      </c>
      <c r="AJ8" s="82">
        <v>8</v>
      </c>
      <c r="AK8" s="82">
        <v>8</v>
      </c>
      <c r="AL8" s="82">
        <v>8</v>
      </c>
      <c r="AM8" s="59"/>
      <c r="AN8" s="75">
        <f t="shared" si="3"/>
        <v>176</v>
      </c>
      <c r="AO8" s="4">
        <f t="shared" si="4"/>
        <v>120</v>
      </c>
      <c r="AP8" s="4">
        <f t="shared" si="0"/>
        <v>-56</v>
      </c>
      <c r="AQ8" s="22"/>
      <c r="AR8" s="65">
        <f t="shared" si="1"/>
        <v>3</v>
      </c>
      <c r="AS8" s="38" t="str">
        <f t="shared" si="1"/>
        <v>Milan Janković</v>
      </c>
      <c r="AT8" s="38" t="str">
        <f t="shared" si="1"/>
        <v>Menadžer administracije</v>
      </c>
      <c r="AU8" s="91">
        <v>23</v>
      </c>
      <c r="AV8" s="92"/>
      <c r="AW8" s="92"/>
      <c r="AX8" s="92"/>
      <c r="AY8" s="36">
        <f>COUNTIF(K8:AM8,"bo")</f>
        <v>0</v>
      </c>
      <c r="AZ8" s="93"/>
      <c r="BA8" s="36">
        <f>(COUNTIF(K8:AM8,"go")*8+COUNTIF(K8:AM8,"sd")*8)/8</f>
        <v>2</v>
      </c>
      <c r="BB8" s="94"/>
      <c r="BC8" s="23"/>
    </row>
    <row r="9" spans="1:55" ht="15" thickBot="1" x14ac:dyDescent="0.35">
      <c r="A9" s="113">
        <v>4</v>
      </c>
      <c r="B9" s="108" t="s">
        <v>28</v>
      </c>
      <c r="C9" s="38" t="s">
        <v>29</v>
      </c>
      <c r="D9" s="38" t="s">
        <v>30</v>
      </c>
      <c r="E9" s="12">
        <v>0</v>
      </c>
      <c r="F9" s="48">
        <v>6</v>
      </c>
      <c r="G9" s="12">
        <f>12*1.666</f>
        <v>19.991999999999997</v>
      </c>
      <c r="H9" s="12">
        <f t="shared" si="2"/>
        <v>13.991999999999997</v>
      </c>
      <c r="I9" s="18"/>
      <c r="J9" s="18"/>
      <c r="K9" s="49"/>
      <c r="L9" s="49"/>
      <c r="M9" s="18"/>
      <c r="N9" s="15"/>
      <c r="O9" s="15"/>
      <c r="P9" s="80" t="s">
        <v>21</v>
      </c>
      <c r="Q9" s="80" t="s">
        <v>21</v>
      </c>
      <c r="R9" s="49"/>
      <c r="S9" s="49"/>
      <c r="T9" s="18">
        <v>8</v>
      </c>
      <c r="U9" s="18">
        <v>8</v>
      </c>
      <c r="V9" s="18">
        <v>8</v>
      </c>
      <c r="W9" s="18">
        <v>8</v>
      </c>
      <c r="X9" s="18">
        <v>8</v>
      </c>
      <c r="Y9" s="41"/>
      <c r="Z9" s="41"/>
      <c r="AA9" s="18">
        <v>8</v>
      </c>
      <c r="AB9" s="18" t="s">
        <v>31</v>
      </c>
      <c r="AC9" s="18">
        <v>8</v>
      </c>
      <c r="AD9" s="18">
        <v>8</v>
      </c>
      <c r="AE9" s="15">
        <v>8</v>
      </c>
      <c r="AF9" s="41"/>
      <c r="AG9" s="41"/>
      <c r="AH9" s="82">
        <v>8</v>
      </c>
      <c r="AI9" s="82">
        <v>8</v>
      </c>
      <c r="AJ9" s="82">
        <v>8</v>
      </c>
      <c r="AK9" s="82">
        <v>8</v>
      </c>
      <c r="AL9" s="82">
        <v>8</v>
      </c>
      <c r="AM9" s="59"/>
      <c r="AN9" s="75">
        <f t="shared" si="3"/>
        <v>176</v>
      </c>
      <c r="AO9" s="4">
        <f t="shared" si="4"/>
        <v>112</v>
      </c>
      <c r="AP9" s="4">
        <f t="shared" si="0"/>
        <v>-64</v>
      </c>
      <c r="AQ9" s="22"/>
      <c r="AR9" s="65">
        <f t="shared" si="1"/>
        <v>4</v>
      </c>
      <c r="AS9" s="38" t="str">
        <f t="shared" si="1"/>
        <v>Jelena Miladinović</v>
      </c>
      <c r="AT9" s="38" t="str">
        <f t="shared" si="1"/>
        <v>Administrativni asistent</v>
      </c>
      <c r="AU9" s="91">
        <v>23</v>
      </c>
      <c r="AV9" s="92"/>
      <c r="AW9" s="92"/>
      <c r="AX9" s="92"/>
      <c r="AY9" s="36">
        <f>COUNTIF(K9:AM9,"bo")</f>
        <v>0</v>
      </c>
      <c r="AZ9" s="93"/>
      <c r="BA9" s="36">
        <f>(COUNTIF(K9:AM9,"go")*8+COUNTIF(K9:AM9,"sd")*8)/8</f>
        <v>2</v>
      </c>
      <c r="BB9" s="94"/>
      <c r="BC9" s="23"/>
    </row>
    <row r="10" spans="1:55" ht="15" thickBot="1" x14ac:dyDescent="0.35">
      <c r="A10" s="112">
        <v>5</v>
      </c>
      <c r="B10" s="109" t="s">
        <v>32</v>
      </c>
      <c r="C10" s="38" t="s">
        <v>29</v>
      </c>
      <c r="D10" s="38" t="s">
        <v>24</v>
      </c>
      <c r="E10" s="12">
        <v>0</v>
      </c>
      <c r="F10" s="48">
        <v>12</v>
      </c>
      <c r="G10" s="12">
        <f>12*1.666</f>
        <v>19.991999999999997</v>
      </c>
      <c r="H10" s="12">
        <f t="shared" si="2"/>
        <v>7.9919999999999973</v>
      </c>
      <c r="I10" s="18"/>
      <c r="J10" s="18"/>
      <c r="K10" s="49"/>
      <c r="L10" s="49"/>
      <c r="M10" s="18"/>
      <c r="N10" s="15"/>
      <c r="O10" s="15"/>
      <c r="P10" s="80" t="s">
        <v>21</v>
      </c>
      <c r="Q10" s="80" t="s">
        <v>21</v>
      </c>
      <c r="R10" s="49"/>
      <c r="S10" s="49"/>
      <c r="T10" s="18">
        <v>8</v>
      </c>
      <c r="U10" s="18">
        <v>8</v>
      </c>
      <c r="V10" s="18">
        <v>8</v>
      </c>
      <c r="W10" s="18">
        <v>8</v>
      </c>
      <c r="X10" s="18">
        <v>8</v>
      </c>
      <c r="Y10" s="41"/>
      <c r="Z10" s="41"/>
      <c r="AA10" s="18">
        <v>8</v>
      </c>
      <c r="AB10" s="18">
        <v>8</v>
      </c>
      <c r="AC10" s="18">
        <v>8</v>
      </c>
      <c r="AD10" s="18">
        <v>8</v>
      </c>
      <c r="AE10" s="15">
        <v>8</v>
      </c>
      <c r="AF10" s="41"/>
      <c r="AG10" s="41"/>
      <c r="AH10" s="82">
        <v>8</v>
      </c>
      <c r="AI10" s="82">
        <v>8</v>
      </c>
      <c r="AJ10" s="82">
        <v>8</v>
      </c>
      <c r="AK10" s="82">
        <v>8</v>
      </c>
      <c r="AL10" s="82">
        <v>8</v>
      </c>
      <c r="AM10" s="59"/>
      <c r="AN10" s="75">
        <f t="shared" si="3"/>
        <v>176</v>
      </c>
      <c r="AO10" s="4">
        <f t="shared" si="4"/>
        <v>120</v>
      </c>
      <c r="AP10" s="4">
        <f t="shared" si="0"/>
        <v>-56</v>
      </c>
      <c r="AQ10" s="22"/>
      <c r="AR10" s="65">
        <f t="shared" si="1"/>
        <v>5</v>
      </c>
      <c r="AS10" s="38" t="str">
        <f t="shared" si="1"/>
        <v>Jelena Pavlović</v>
      </c>
      <c r="AT10" s="38" t="str">
        <f t="shared" si="1"/>
        <v>Administrativni asistent</v>
      </c>
      <c r="AU10" s="91">
        <v>18</v>
      </c>
      <c r="AV10" s="92"/>
      <c r="AW10" s="92"/>
      <c r="AX10" s="92"/>
      <c r="AY10" s="36">
        <v>4</v>
      </c>
      <c r="AZ10" s="93" t="s">
        <v>33</v>
      </c>
      <c r="BA10" s="36">
        <v>1</v>
      </c>
      <c r="BB10" s="94" t="s">
        <v>34</v>
      </c>
      <c r="BC10" s="23"/>
    </row>
    <row r="11" spans="1:55" ht="15" thickBot="1" x14ac:dyDescent="0.35">
      <c r="A11" s="113">
        <v>6</v>
      </c>
      <c r="B11" s="108" t="s">
        <v>35</v>
      </c>
      <c r="C11" s="38" t="s">
        <v>36</v>
      </c>
      <c r="D11" s="38" t="s">
        <v>37</v>
      </c>
      <c r="E11" s="12">
        <v>0</v>
      </c>
      <c r="F11" s="48">
        <v>13</v>
      </c>
      <c r="G11" s="12">
        <f>12*1.666</f>
        <v>19.991999999999997</v>
      </c>
      <c r="H11" s="12">
        <f t="shared" si="2"/>
        <v>6.9919999999999973</v>
      </c>
      <c r="I11" s="18"/>
      <c r="J11" s="18"/>
      <c r="K11" s="49"/>
      <c r="L11" s="49"/>
      <c r="M11" s="18"/>
      <c r="N11" s="15"/>
      <c r="O11" s="15"/>
      <c r="P11" s="80" t="s">
        <v>21</v>
      </c>
      <c r="Q11" s="80" t="s">
        <v>21</v>
      </c>
      <c r="R11" s="49"/>
      <c r="S11" s="49"/>
      <c r="T11" s="18">
        <v>8</v>
      </c>
      <c r="U11" s="18">
        <v>8</v>
      </c>
      <c r="V11" s="18">
        <v>8</v>
      </c>
      <c r="W11" s="18">
        <v>8</v>
      </c>
      <c r="X11" s="18">
        <v>8</v>
      </c>
      <c r="Y11" s="41"/>
      <c r="Z11" s="41"/>
      <c r="AA11" s="18">
        <v>8</v>
      </c>
      <c r="AB11" s="18">
        <v>8</v>
      </c>
      <c r="AC11" s="18">
        <v>8</v>
      </c>
      <c r="AD11" s="18">
        <v>8</v>
      </c>
      <c r="AE11" s="18">
        <v>8</v>
      </c>
      <c r="AF11" s="49"/>
      <c r="AG11" s="49"/>
      <c r="AH11" s="82">
        <v>8</v>
      </c>
      <c r="AI11" s="82">
        <v>8</v>
      </c>
      <c r="AJ11" s="82">
        <v>8</v>
      </c>
      <c r="AK11" s="82">
        <v>8</v>
      </c>
      <c r="AL11" s="82">
        <v>8</v>
      </c>
      <c r="AM11" s="59"/>
      <c r="AN11" s="75">
        <f t="shared" si="3"/>
        <v>176</v>
      </c>
      <c r="AO11" s="4">
        <f>SUM(I11:AM11)</f>
        <v>120</v>
      </c>
      <c r="AP11" s="4">
        <f t="shared" si="0"/>
        <v>-56</v>
      </c>
      <c r="AQ11" s="22"/>
      <c r="AR11" s="65">
        <f t="shared" si="1"/>
        <v>6</v>
      </c>
      <c r="AS11" s="38" t="str">
        <f t="shared" si="1"/>
        <v>Mirjana Stojmirović</v>
      </c>
      <c r="AT11" s="38" t="str">
        <f t="shared" si="1"/>
        <v>Higijeničar</v>
      </c>
      <c r="AU11" s="91">
        <v>23</v>
      </c>
      <c r="AV11" s="92"/>
      <c r="AW11" s="92"/>
      <c r="AX11" s="92"/>
      <c r="AY11" s="36">
        <f>COUNTIF(K11:AM11,"bo")</f>
        <v>0</v>
      </c>
      <c r="AZ11" s="93"/>
      <c r="BA11" s="36">
        <f>(COUNTIF(K11:AM11,"go")*8+COUNTIF(K11:AM11,"sd")*8)/8</f>
        <v>2</v>
      </c>
      <c r="BB11" s="94"/>
      <c r="BC11" s="23"/>
    </row>
    <row r="12" spans="1:55" ht="18.75" customHeight="1" thickBot="1" x14ac:dyDescent="0.35">
      <c r="A12" s="112">
        <v>7</v>
      </c>
      <c r="B12" s="108" t="s">
        <v>38</v>
      </c>
      <c r="C12" s="38" t="s">
        <v>39</v>
      </c>
      <c r="D12" s="38" t="s">
        <v>40</v>
      </c>
      <c r="E12" s="12">
        <v>0</v>
      </c>
      <c r="F12" s="48">
        <v>14</v>
      </c>
      <c r="G12" s="12">
        <f>5*1.83</f>
        <v>9.15</v>
      </c>
      <c r="H12" s="12">
        <f t="shared" si="2"/>
        <v>-4.8499999999999996</v>
      </c>
      <c r="I12" s="18"/>
      <c r="J12" s="18"/>
      <c r="K12" s="49"/>
      <c r="L12" s="49"/>
      <c r="M12" s="18"/>
      <c r="N12" s="15"/>
      <c r="O12" s="15"/>
      <c r="P12" s="80" t="s">
        <v>21</v>
      </c>
      <c r="Q12" s="80" t="s">
        <v>21</v>
      </c>
      <c r="R12" s="49"/>
      <c r="S12" s="49"/>
      <c r="T12" s="18">
        <v>8</v>
      </c>
      <c r="U12" s="18">
        <v>8</v>
      </c>
      <c r="V12" s="18">
        <v>8</v>
      </c>
      <c r="W12" s="18">
        <v>8</v>
      </c>
      <c r="X12" s="18">
        <v>8</v>
      </c>
      <c r="Y12" s="41"/>
      <c r="Z12" s="41"/>
      <c r="AA12" s="18">
        <v>8</v>
      </c>
      <c r="AB12" s="18">
        <v>8</v>
      </c>
      <c r="AC12" s="18">
        <v>8</v>
      </c>
      <c r="AD12" s="18">
        <v>8</v>
      </c>
      <c r="AE12" s="18">
        <v>8</v>
      </c>
      <c r="AF12" s="49"/>
      <c r="AG12" s="49"/>
      <c r="AH12" s="82">
        <v>8</v>
      </c>
      <c r="AI12" s="82">
        <v>8</v>
      </c>
      <c r="AJ12" s="82">
        <v>8</v>
      </c>
      <c r="AK12" s="82">
        <v>8</v>
      </c>
      <c r="AL12" s="82">
        <v>8</v>
      </c>
      <c r="AM12" s="59"/>
      <c r="AN12" s="75">
        <f t="shared" si="3"/>
        <v>176</v>
      </c>
      <c r="AO12" s="4">
        <f t="shared" si="4"/>
        <v>120</v>
      </c>
      <c r="AP12" s="4">
        <f t="shared" si="0"/>
        <v>-56</v>
      </c>
      <c r="AQ12" s="22"/>
      <c r="AR12" s="65">
        <v>7</v>
      </c>
      <c r="AS12" s="38" t="s">
        <v>38</v>
      </c>
      <c r="AT12" s="38" t="s">
        <v>39</v>
      </c>
      <c r="AU12" s="91">
        <v>20</v>
      </c>
      <c r="AV12" s="92"/>
      <c r="AW12" s="92"/>
      <c r="AX12" s="92"/>
      <c r="AY12" s="36">
        <v>0</v>
      </c>
      <c r="AZ12" s="93"/>
      <c r="BA12" s="36">
        <v>3</v>
      </c>
      <c r="BB12" s="94" t="s">
        <v>41</v>
      </c>
      <c r="BC12" s="23"/>
    </row>
    <row r="13" spans="1:55" ht="15" thickBot="1" x14ac:dyDescent="0.35">
      <c r="A13" s="112">
        <v>8</v>
      </c>
      <c r="B13" s="108" t="s">
        <v>42</v>
      </c>
      <c r="C13" s="38" t="s">
        <v>43</v>
      </c>
      <c r="D13" s="38" t="s">
        <v>44</v>
      </c>
      <c r="E13" s="12">
        <v>0</v>
      </c>
      <c r="F13" s="48">
        <v>8</v>
      </c>
      <c r="G13" s="12">
        <f>12*1.666</f>
        <v>19.991999999999997</v>
      </c>
      <c r="H13" s="12">
        <f t="shared" si="2"/>
        <v>11.991999999999997</v>
      </c>
      <c r="I13" s="18"/>
      <c r="J13" s="18"/>
      <c r="K13" s="41"/>
      <c r="L13" s="41"/>
      <c r="M13" s="15">
        <v>8</v>
      </c>
      <c r="N13" s="15"/>
      <c r="O13" s="15"/>
      <c r="P13" s="80" t="s">
        <v>21</v>
      </c>
      <c r="Q13" s="80" t="s">
        <v>21</v>
      </c>
      <c r="R13" s="41"/>
      <c r="S13" s="41">
        <v>2</v>
      </c>
      <c r="T13" s="15">
        <v>8</v>
      </c>
      <c r="U13" s="15">
        <v>8</v>
      </c>
      <c r="V13" s="15">
        <v>8</v>
      </c>
      <c r="W13" s="18">
        <v>8</v>
      </c>
      <c r="X13" s="18">
        <v>8</v>
      </c>
      <c r="Y13" s="41">
        <v>1.5</v>
      </c>
      <c r="Z13" s="41"/>
      <c r="AA13" s="60">
        <v>8</v>
      </c>
      <c r="AB13" s="60">
        <v>8</v>
      </c>
      <c r="AC13" s="60">
        <v>8</v>
      </c>
      <c r="AD13" s="61">
        <v>8</v>
      </c>
      <c r="AE13" s="61">
        <v>8</v>
      </c>
      <c r="AF13" s="41">
        <v>2</v>
      </c>
      <c r="AG13" s="41"/>
      <c r="AH13" s="15">
        <v>8</v>
      </c>
      <c r="AI13" s="15">
        <v>8</v>
      </c>
      <c r="AJ13" s="18">
        <v>8</v>
      </c>
      <c r="AK13" s="118">
        <v>8</v>
      </c>
      <c r="AL13" s="118">
        <v>8</v>
      </c>
      <c r="AM13" s="59">
        <v>2</v>
      </c>
      <c r="AN13" s="75">
        <f t="shared" si="3"/>
        <v>176</v>
      </c>
      <c r="AO13" s="4">
        <f>SUM(I13:AM13)</f>
        <v>135.5</v>
      </c>
      <c r="AP13" s="4">
        <f t="shared" si="0"/>
        <v>-40.5</v>
      </c>
      <c r="AQ13" s="22"/>
      <c r="AR13" s="65">
        <f t="shared" ref="AR13:AR44" si="5">A13</f>
        <v>8</v>
      </c>
      <c r="AS13" s="38" t="str">
        <f t="shared" ref="AS13:AS44" si="6">B13</f>
        <v>Sergej Solev</v>
      </c>
      <c r="AT13" s="38" t="str">
        <f t="shared" ref="AT13:AT44" si="7">C13</f>
        <v>Vođa smene</v>
      </c>
      <c r="AU13" s="76">
        <v>15</v>
      </c>
      <c r="AV13" s="20"/>
      <c r="AW13" s="20"/>
      <c r="AX13" s="22"/>
      <c r="AY13" s="36">
        <f t="shared" ref="AY13:AY37" si="8">COUNTIF(K13:AM13,"bo")</f>
        <v>0</v>
      </c>
      <c r="AZ13" s="36"/>
      <c r="BA13" s="36">
        <f t="shared" ref="BA13:BA20" si="9">(COUNTIF(K13:AM13,"go")*8+COUNTIF(K13:AM13,"sd")*8)/8</f>
        <v>2</v>
      </c>
      <c r="BB13" s="22"/>
      <c r="BC13" s="23"/>
    </row>
    <row r="14" spans="1:55" ht="15" thickBot="1" x14ac:dyDescent="0.35">
      <c r="A14" s="113">
        <v>9</v>
      </c>
      <c r="B14" s="108" t="s">
        <v>45</v>
      </c>
      <c r="C14" s="38" t="s">
        <v>43</v>
      </c>
      <c r="D14" s="38" t="s">
        <v>44</v>
      </c>
      <c r="E14" s="12">
        <v>0</v>
      </c>
      <c r="F14" s="48">
        <v>11</v>
      </c>
      <c r="G14" s="12">
        <f t="shared" ref="G14:G64" si="10">12*1.666</f>
        <v>19.991999999999997</v>
      </c>
      <c r="H14" s="12">
        <f t="shared" si="2"/>
        <v>8.9919999999999973</v>
      </c>
      <c r="I14" s="18"/>
      <c r="J14" s="18"/>
      <c r="K14" s="41"/>
      <c r="L14" s="41"/>
      <c r="M14" s="15">
        <v>8</v>
      </c>
      <c r="N14" s="15"/>
      <c r="O14" s="15"/>
      <c r="P14" s="80" t="s">
        <v>21</v>
      </c>
      <c r="Q14" s="80" t="s">
        <v>21</v>
      </c>
      <c r="R14" s="41">
        <v>1</v>
      </c>
      <c r="S14" s="41"/>
      <c r="T14" s="60">
        <v>8</v>
      </c>
      <c r="U14" s="60">
        <v>8</v>
      </c>
      <c r="V14" s="60">
        <v>8</v>
      </c>
      <c r="W14" s="61">
        <v>8</v>
      </c>
      <c r="X14" s="61"/>
      <c r="Y14" s="41"/>
      <c r="Z14" s="41"/>
      <c r="AA14" s="15">
        <v>8</v>
      </c>
      <c r="AB14" s="15">
        <v>8</v>
      </c>
      <c r="AC14" s="15">
        <v>8</v>
      </c>
      <c r="AD14" s="18">
        <v>8</v>
      </c>
      <c r="AE14" s="18">
        <v>8</v>
      </c>
      <c r="AF14" s="41"/>
      <c r="AG14" s="41">
        <v>1</v>
      </c>
      <c r="AH14" s="15">
        <v>8</v>
      </c>
      <c r="AI14" s="15">
        <v>8</v>
      </c>
      <c r="AJ14" s="18">
        <v>8</v>
      </c>
      <c r="AK14" s="18">
        <v>8</v>
      </c>
      <c r="AL14" s="18">
        <v>8</v>
      </c>
      <c r="AM14" s="59">
        <v>3</v>
      </c>
      <c r="AN14" s="75">
        <f t="shared" si="3"/>
        <v>176</v>
      </c>
      <c r="AO14" s="4">
        <f t="shared" si="4"/>
        <v>125</v>
      </c>
      <c r="AP14" s="4">
        <f t="shared" si="0"/>
        <v>-51</v>
      </c>
      <c r="AQ14" s="22"/>
      <c r="AR14" s="65">
        <f t="shared" si="5"/>
        <v>9</v>
      </c>
      <c r="AS14" s="38" t="str">
        <f t="shared" si="6"/>
        <v>Miloš Tacić</v>
      </c>
      <c r="AT14" s="38" t="str">
        <f t="shared" si="7"/>
        <v>Vođa smene</v>
      </c>
      <c r="AU14" s="76">
        <v>18</v>
      </c>
      <c r="AV14" s="20"/>
      <c r="AW14" s="20"/>
      <c r="AX14" s="22"/>
      <c r="AY14" s="36">
        <f t="shared" si="8"/>
        <v>0</v>
      </c>
      <c r="AZ14" s="36"/>
      <c r="BA14" s="36">
        <f t="shared" si="9"/>
        <v>2</v>
      </c>
      <c r="BB14" s="22"/>
      <c r="BC14" s="23"/>
    </row>
    <row r="15" spans="1:55" ht="15" thickBot="1" x14ac:dyDescent="0.35">
      <c r="A15" s="112">
        <v>10</v>
      </c>
      <c r="B15" s="108" t="s">
        <v>46</v>
      </c>
      <c r="C15" s="38" t="s">
        <v>43</v>
      </c>
      <c r="D15" s="38" t="s">
        <v>44</v>
      </c>
      <c r="E15" s="12">
        <v>0</v>
      </c>
      <c r="F15" s="48">
        <v>16</v>
      </c>
      <c r="G15" s="12">
        <f t="shared" si="10"/>
        <v>19.991999999999997</v>
      </c>
      <c r="H15" s="12">
        <f t="shared" si="2"/>
        <v>3.9919999999999973</v>
      </c>
      <c r="I15" s="18"/>
      <c r="J15" s="18"/>
      <c r="K15" s="41"/>
      <c r="L15" s="41"/>
      <c r="M15" s="15"/>
      <c r="N15" s="15"/>
      <c r="O15" s="15"/>
      <c r="P15" s="80" t="s">
        <v>21</v>
      </c>
      <c r="Q15" s="80" t="s">
        <v>21</v>
      </c>
      <c r="R15" s="41"/>
      <c r="S15" s="41"/>
      <c r="T15" s="15">
        <v>8</v>
      </c>
      <c r="U15" s="15">
        <v>8</v>
      </c>
      <c r="V15" s="15">
        <v>8</v>
      </c>
      <c r="W15" s="18">
        <v>8</v>
      </c>
      <c r="X15" s="18">
        <v>8</v>
      </c>
      <c r="Y15" s="41"/>
      <c r="Z15" s="41">
        <v>2</v>
      </c>
      <c r="AA15" s="15">
        <v>8</v>
      </c>
      <c r="AB15" s="15">
        <v>8</v>
      </c>
      <c r="AC15" s="15">
        <v>8</v>
      </c>
      <c r="AD15" s="18">
        <v>8</v>
      </c>
      <c r="AE15" s="18">
        <v>8</v>
      </c>
      <c r="AF15" s="41">
        <v>2</v>
      </c>
      <c r="AG15" s="49"/>
      <c r="AH15" s="60">
        <v>8</v>
      </c>
      <c r="AI15" s="61">
        <v>8</v>
      </c>
      <c r="AJ15" s="116">
        <v>8</v>
      </c>
      <c r="AK15" s="119">
        <v>7</v>
      </c>
      <c r="AL15" s="119">
        <v>8</v>
      </c>
      <c r="AM15" s="59">
        <v>3</v>
      </c>
      <c r="AN15" s="75">
        <f t="shared" si="3"/>
        <v>176</v>
      </c>
      <c r="AO15" s="4">
        <f t="shared" si="4"/>
        <v>126</v>
      </c>
      <c r="AP15" s="4">
        <f t="shared" si="0"/>
        <v>-50</v>
      </c>
      <c r="AQ15" s="22"/>
      <c r="AR15" s="65">
        <f t="shared" si="5"/>
        <v>10</v>
      </c>
      <c r="AS15" s="38" t="str">
        <f t="shared" si="6"/>
        <v>Lazar Panajotović</v>
      </c>
      <c r="AT15" s="38" t="str">
        <f t="shared" si="7"/>
        <v>Vođa smene</v>
      </c>
      <c r="AU15" s="76">
        <v>13</v>
      </c>
      <c r="AV15" s="20"/>
      <c r="AW15" s="20"/>
      <c r="AX15" s="22"/>
      <c r="AY15" s="36">
        <f t="shared" si="8"/>
        <v>0</v>
      </c>
      <c r="AZ15" s="36"/>
      <c r="BA15" s="36">
        <f t="shared" si="9"/>
        <v>2</v>
      </c>
      <c r="BB15" s="22"/>
      <c r="BC15" s="23"/>
    </row>
    <row r="16" spans="1:55" ht="15" thickBot="1" x14ac:dyDescent="0.35">
      <c r="A16" s="113">
        <v>11</v>
      </c>
      <c r="B16" s="108" t="s">
        <v>47</v>
      </c>
      <c r="C16" s="38" t="s">
        <v>48</v>
      </c>
      <c r="D16" s="38" t="s">
        <v>49</v>
      </c>
      <c r="E16" s="12">
        <v>0</v>
      </c>
      <c r="F16" s="48">
        <v>17</v>
      </c>
      <c r="G16" s="12">
        <f t="shared" si="10"/>
        <v>19.991999999999997</v>
      </c>
      <c r="H16" s="12">
        <f t="shared" si="2"/>
        <v>2.9919999999999973</v>
      </c>
      <c r="I16" s="18"/>
      <c r="J16" s="18"/>
      <c r="K16" s="41"/>
      <c r="L16" s="41"/>
      <c r="M16" s="15">
        <v>8</v>
      </c>
      <c r="N16" s="15"/>
      <c r="O16" s="15"/>
      <c r="P16" s="80" t="s">
        <v>21</v>
      </c>
      <c r="Q16" s="80" t="s">
        <v>21</v>
      </c>
      <c r="R16" s="41"/>
      <c r="S16" s="41"/>
      <c r="T16" s="15">
        <v>8</v>
      </c>
      <c r="U16" s="15">
        <v>8</v>
      </c>
      <c r="V16" s="15">
        <v>8</v>
      </c>
      <c r="W16" s="18">
        <v>8</v>
      </c>
      <c r="X16" s="18">
        <v>8</v>
      </c>
      <c r="Y16" s="41"/>
      <c r="Z16" s="41"/>
      <c r="AA16" s="15">
        <v>8</v>
      </c>
      <c r="AB16" s="15">
        <v>6</v>
      </c>
      <c r="AC16" s="15">
        <v>8</v>
      </c>
      <c r="AD16" s="18">
        <v>8</v>
      </c>
      <c r="AE16" s="18">
        <v>8</v>
      </c>
      <c r="AF16" s="41"/>
      <c r="AG16" s="41"/>
      <c r="AH16" s="15">
        <v>8</v>
      </c>
      <c r="AI16" s="15">
        <v>8</v>
      </c>
      <c r="AJ16" s="18">
        <v>8</v>
      </c>
      <c r="AK16" s="118">
        <v>8</v>
      </c>
      <c r="AL16" s="118">
        <v>8</v>
      </c>
      <c r="AM16" s="59"/>
      <c r="AN16" s="75">
        <f t="shared" si="3"/>
        <v>176</v>
      </c>
      <c r="AO16" s="4">
        <f t="shared" si="4"/>
        <v>126</v>
      </c>
      <c r="AP16" s="4">
        <f t="shared" si="0"/>
        <v>-50</v>
      </c>
      <c r="AQ16" s="22"/>
      <c r="AR16" s="65">
        <f t="shared" si="5"/>
        <v>11</v>
      </c>
      <c r="AS16" s="38" t="str">
        <f t="shared" si="6"/>
        <v>Nenad Radojević</v>
      </c>
      <c r="AT16" s="38" t="str">
        <f t="shared" si="7"/>
        <v>Viljuškarista</v>
      </c>
      <c r="AU16" s="76">
        <v>15</v>
      </c>
      <c r="AV16" s="20"/>
      <c r="AW16" s="20"/>
      <c r="AX16" s="22"/>
      <c r="AY16" s="36">
        <f t="shared" si="8"/>
        <v>0</v>
      </c>
      <c r="AZ16" s="36" t="s">
        <v>50</v>
      </c>
      <c r="BA16" s="36">
        <f t="shared" si="9"/>
        <v>2</v>
      </c>
      <c r="BB16" s="22"/>
      <c r="BC16" s="23"/>
    </row>
    <row r="17" spans="1:55" ht="15" thickBot="1" x14ac:dyDescent="0.35">
      <c r="A17" s="112">
        <v>12</v>
      </c>
      <c r="B17" s="108" t="s">
        <v>51</v>
      </c>
      <c r="C17" s="38" t="s">
        <v>48</v>
      </c>
      <c r="D17" s="38" t="s">
        <v>52</v>
      </c>
      <c r="E17" s="12">
        <v>0</v>
      </c>
      <c r="F17" s="48">
        <v>10</v>
      </c>
      <c r="G17" s="12">
        <f t="shared" si="10"/>
        <v>19.991999999999997</v>
      </c>
      <c r="H17" s="12">
        <f t="shared" si="2"/>
        <v>9.9919999999999973</v>
      </c>
      <c r="I17" s="18"/>
      <c r="J17" s="18"/>
      <c r="K17" s="41"/>
      <c r="L17" s="41"/>
      <c r="M17" s="15"/>
      <c r="N17" s="15"/>
      <c r="O17" s="15"/>
      <c r="P17" s="80" t="s">
        <v>21</v>
      </c>
      <c r="Q17" s="80" t="s">
        <v>21</v>
      </c>
      <c r="R17" s="41"/>
      <c r="S17" s="41"/>
      <c r="T17" s="15">
        <v>8</v>
      </c>
      <c r="U17" s="15">
        <v>8</v>
      </c>
      <c r="V17" s="15">
        <v>8</v>
      </c>
      <c r="W17" s="18">
        <v>8</v>
      </c>
      <c r="X17" s="18">
        <v>8</v>
      </c>
      <c r="Y17" s="41"/>
      <c r="Z17" s="41"/>
      <c r="AA17" s="60">
        <v>8</v>
      </c>
      <c r="AB17" s="60">
        <v>8</v>
      </c>
      <c r="AC17" s="60">
        <v>8</v>
      </c>
      <c r="AD17" s="61">
        <v>8</v>
      </c>
      <c r="AE17" s="61">
        <v>8</v>
      </c>
      <c r="AF17" s="41"/>
      <c r="AG17" s="41"/>
      <c r="AH17" s="15">
        <v>8</v>
      </c>
      <c r="AI17" s="15">
        <v>8</v>
      </c>
      <c r="AJ17" s="18">
        <v>8</v>
      </c>
      <c r="AK17" s="118">
        <v>8</v>
      </c>
      <c r="AL17" s="118">
        <v>8</v>
      </c>
      <c r="AM17" s="59"/>
      <c r="AN17" s="75">
        <f t="shared" si="3"/>
        <v>176</v>
      </c>
      <c r="AO17" s="4">
        <f t="shared" si="4"/>
        <v>120</v>
      </c>
      <c r="AP17" s="4">
        <f t="shared" si="0"/>
        <v>-56</v>
      </c>
      <c r="AQ17" s="22"/>
      <c r="AR17" s="65">
        <f t="shared" si="5"/>
        <v>12</v>
      </c>
      <c r="AS17" s="38" t="str">
        <f t="shared" si="6"/>
        <v>Darko Perić</v>
      </c>
      <c r="AT17" s="38" t="str">
        <f t="shared" si="7"/>
        <v>Viljuškarista</v>
      </c>
      <c r="AU17" s="76">
        <v>14</v>
      </c>
      <c r="AV17" s="20"/>
      <c r="AW17" s="20"/>
      <c r="AX17" s="22"/>
      <c r="AY17" s="36">
        <f t="shared" si="8"/>
        <v>0</v>
      </c>
      <c r="AZ17" s="36"/>
      <c r="BA17" s="36">
        <f t="shared" si="9"/>
        <v>2</v>
      </c>
      <c r="BB17" s="22" t="s">
        <v>53</v>
      </c>
      <c r="BC17" s="23"/>
    </row>
    <row r="18" spans="1:55" ht="15" thickBot="1" x14ac:dyDescent="0.35">
      <c r="A18" s="113">
        <v>13</v>
      </c>
      <c r="B18" s="108" t="s">
        <v>54</v>
      </c>
      <c r="C18" s="38" t="s">
        <v>48</v>
      </c>
      <c r="D18" s="38" t="s">
        <v>52</v>
      </c>
      <c r="E18" s="12">
        <v>0</v>
      </c>
      <c r="F18" s="48">
        <v>18</v>
      </c>
      <c r="G18" s="12">
        <f t="shared" si="10"/>
        <v>19.991999999999997</v>
      </c>
      <c r="H18" s="12">
        <f t="shared" si="2"/>
        <v>1.9919999999999973</v>
      </c>
      <c r="I18" s="18"/>
      <c r="J18" s="18"/>
      <c r="K18" s="41"/>
      <c r="L18" s="41"/>
      <c r="M18" s="15"/>
      <c r="N18" s="15"/>
      <c r="O18" s="15"/>
      <c r="P18" s="80" t="s">
        <v>21</v>
      </c>
      <c r="Q18" s="80" t="s">
        <v>21</v>
      </c>
      <c r="R18" s="41"/>
      <c r="S18" s="41"/>
      <c r="T18" s="15">
        <v>8</v>
      </c>
      <c r="U18" s="15">
        <v>8</v>
      </c>
      <c r="V18" s="15">
        <v>8</v>
      </c>
      <c r="W18" s="18">
        <v>8</v>
      </c>
      <c r="X18" s="18">
        <v>8</v>
      </c>
      <c r="Y18" s="41"/>
      <c r="Z18" s="41"/>
      <c r="AA18" s="15">
        <v>8</v>
      </c>
      <c r="AB18" s="15">
        <v>8</v>
      </c>
      <c r="AC18" s="15">
        <v>8</v>
      </c>
      <c r="AD18" s="18">
        <v>8</v>
      </c>
      <c r="AE18" s="18">
        <v>8</v>
      </c>
      <c r="AF18" s="41"/>
      <c r="AG18" s="41"/>
      <c r="AH18" s="60">
        <v>8</v>
      </c>
      <c r="AI18" s="60">
        <v>8</v>
      </c>
      <c r="AJ18" s="61">
        <v>8</v>
      </c>
      <c r="AK18" s="119">
        <v>8</v>
      </c>
      <c r="AL18" s="119">
        <v>8</v>
      </c>
      <c r="AM18" s="59"/>
      <c r="AN18" s="75">
        <f t="shared" si="3"/>
        <v>176</v>
      </c>
      <c r="AO18" s="4">
        <f t="shared" si="4"/>
        <v>120</v>
      </c>
      <c r="AP18" s="4">
        <f t="shared" si="0"/>
        <v>-56</v>
      </c>
      <c r="AQ18" s="22"/>
      <c r="AR18" s="65">
        <f t="shared" si="5"/>
        <v>13</v>
      </c>
      <c r="AS18" s="38" t="str">
        <f t="shared" si="6"/>
        <v>Željko Perić</v>
      </c>
      <c r="AT18" s="38" t="str">
        <f t="shared" si="7"/>
        <v>Viljuškarista</v>
      </c>
      <c r="AU18" s="76">
        <v>13</v>
      </c>
      <c r="AV18" s="20"/>
      <c r="AW18" s="20"/>
      <c r="AX18" s="22"/>
      <c r="AY18" s="36">
        <f t="shared" si="8"/>
        <v>0</v>
      </c>
      <c r="AZ18" s="36"/>
      <c r="BA18" s="36">
        <f t="shared" si="9"/>
        <v>2</v>
      </c>
      <c r="BB18" s="22"/>
      <c r="BC18" s="23"/>
    </row>
    <row r="19" spans="1:55" ht="15" thickBot="1" x14ac:dyDescent="0.35">
      <c r="A19" s="112">
        <v>14</v>
      </c>
      <c r="B19" s="108" t="s">
        <v>55</v>
      </c>
      <c r="C19" s="38" t="s">
        <v>56</v>
      </c>
      <c r="D19" s="38" t="s">
        <v>57</v>
      </c>
      <c r="E19" s="12">
        <v>0</v>
      </c>
      <c r="F19" s="48">
        <v>16</v>
      </c>
      <c r="G19" s="12">
        <f t="shared" si="10"/>
        <v>19.991999999999997</v>
      </c>
      <c r="H19" s="12">
        <f t="shared" si="2"/>
        <v>3.9919999999999973</v>
      </c>
      <c r="I19" s="18"/>
      <c r="J19" s="18"/>
      <c r="K19" s="41"/>
      <c r="L19" s="41"/>
      <c r="M19" s="15"/>
      <c r="N19" s="15"/>
      <c r="O19" s="15"/>
      <c r="P19" s="80" t="s">
        <v>21</v>
      </c>
      <c r="Q19" s="80" t="s">
        <v>21</v>
      </c>
      <c r="R19" s="41"/>
      <c r="S19" s="41"/>
      <c r="T19" s="60">
        <v>8</v>
      </c>
      <c r="U19" s="60">
        <v>8</v>
      </c>
      <c r="V19" s="60">
        <v>8</v>
      </c>
      <c r="W19" s="61">
        <v>8</v>
      </c>
      <c r="X19" s="61"/>
      <c r="Y19" s="41"/>
      <c r="Z19" s="41"/>
      <c r="AA19" s="15">
        <v>8</v>
      </c>
      <c r="AB19" s="15">
        <v>8</v>
      </c>
      <c r="AC19" s="15">
        <v>8</v>
      </c>
      <c r="AD19" s="18">
        <v>8</v>
      </c>
      <c r="AE19" s="18">
        <v>8</v>
      </c>
      <c r="AF19" s="41"/>
      <c r="AG19" s="41"/>
      <c r="AH19" s="15">
        <v>8</v>
      </c>
      <c r="AI19" s="15">
        <v>8</v>
      </c>
      <c r="AJ19" s="18">
        <v>8</v>
      </c>
      <c r="AK19" s="118">
        <v>8</v>
      </c>
      <c r="AL19" s="118">
        <v>8</v>
      </c>
      <c r="AM19" s="59"/>
      <c r="AN19" s="67">
        <f>22*8</f>
        <v>176</v>
      </c>
      <c r="AO19" s="4">
        <f t="shared" si="4"/>
        <v>112</v>
      </c>
      <c r="AP19" s="4">
        <f t="shared" si="0"/>
        <v>-64</v>
      </c>
      <c r="AQ19" s="22"/>
      <c r="AR19" s="65">
        <f t="shared" si="5"/>
        <v>14</v>
      </c>
      <c r="AS19" s="38" t="str">
        <f t="shared" si="6"/>
        <v>Zlatan Stojmirović</v>
      </c>
      <c r="AT19" s="38" t="str">
        <f t="shared" si="7"/>
        <v>Proizvodnja gumica</v>
      </c>
      <c r="AU19" s="76">
        <v>18</v>
      </c>
      <c r="AV19" s="22"/>
      <c r="AW19" s="22"/>
      <c r="AX19" s="22"/>
      <c r="AY19" s="36">
        <f t="shared" si="8"/>
        <v>0</v>
      </c>
      <c r="AZ19" s="36" t="s">
        <v>58</v>
      </c>
      <c r="BA19" s="36">
        <f t="shared" si="9"/>
        <v>2</v>
      </c>
      <c r="BB19" s="22" t="s">
        <v>59</v>
      </c>
      <c r="BC19" s="23"/>
    </row>
    <row r="20" spans="1:55" ht="15" thickBot="1" x14ac:dyDescent="0.35">
      <c r="A20" s="113">
        <v>15</v>
      </c>
      <c r="B20" s="108" t="s">
        <v>60</v>
      </c>
      <c r="C20" s="38" t="s">
        <v>61</v>
      </c>
      <c r="D20" s="38" t="s">
        <v>62</v>
      </c>
      <c r="E20" s="12">
        <v>0</v>
      </c>
      <c r="F20" s="48">
        <v>13</v>
      </c>
      <c r="G20" s="12">
        <f t="shared" si="10"/>
        <v>19.991999999999997</v>
      </c>
      <c r="H20" s="12">
        <f t="shared" si="2"/>
        <v>6.9919999999999973</v>
      </c>
      <c r="I20" s="18"/>
      <c r="J20" s="18"/>
      <c r="K20" s="41"/>
      <c r="L20" s="41"/>
      <c r="M20" s="15"/>
      <c r="N20" s="15"/>
      <c r="O20" s="15"/>
      <c r="P20" s="80" t="s">
        <v>21</v>
      </c>
      <c r="Q20" s="80" t="s">
        <v>21</v>
      </c>
      <c r="R20" s="41"/>
      <c r="S20" s="41"/>
      <c r="T20" s="15">
        <v>8</v>
      </c>
      <c r="U20" s="15">
        <v>8</v>
      </c>
      <c r="V20" s="15">
        <v>8</v>
      </c>
      <c r="W20" s="18">
        <v>8</v>
      </c>
      <c r="X20" s="18">
        <v>8</v>
      </c>
      <c r="Y20" s="41"/>
      <c r="Z20" s="41"/>
      <c r="AA20" s="15">
        <v>8</v>
      </c>
      <c r="AB20" s="15">
        <v>8</v>
      </c>
      <c r="AC20" s="15">
        <v>8</v>
      </c>
      <c r="AD20" s="18">
        <v>8</v>
      </c>
      <c r="AE20" s="18">
        <v>8</v>
      </c>
      <c r="AF20" s="41"/>
      <c r="AG20" s="41"/>
      <c r="AH20" s="60" t="s">
        <v>63</v>
      </c>
      <c r="AI20" s="60">
        <v>4</v>
      </c>
      <c r="AJ20" s="61">
        <v>8</v>
      </c>
      <c r="AK20" s="119">
        <v>8</v>
      </c>
      <c r="AL20" s="119">
        <v>8</v>
      </c>
      <c r="AM20" s="59"/>
      <c r="AN20" s="67">
        <f t="shared" ref="AN20:AN62" si="11">22*8</f>
        <v>176</v>
      </c>
      <c r="AO20" s="4">
        <f t="shared" si="4"/>
        <v>108</v>
      </c>
      <c r="AP20" s="4">
        <f t="shared" si="0"/>
        <v>-68</v>
      </c>
      <c r="AQ20" s="22"/>
      <c r="AR20" s="65">
        <f t="shared" si="5"/>
        <v>15</v>
      </c>
      <c r="AS20" s="38" t="str">
        <f t="shared" si="6"/>
        <v>Miodrag Kostić</v>
      </c>
      <c r="AT20" s="38" t="str">
        <f t="shared" si="7"/>
        <v>Compact - L1</v>
      </c>
      <c r="AU20" s="76">
        <v>18</v>
      </c>
      <c r="AV20" s="22"/>
      <c r="AW20" s="20"/>
      <c r="AX20" s="22"/>
      <c r="AY20" s="36">
        <f t="shared" si="8"/>
        <v>0</v>
      </c>
      <c r="AZ20" s="36" t="s">
        <v>64</v>
      </c>
      <c r="BA20" s="36">
        <f t="shared" si="9"/>
        <v>2</v>
      </c>
      <c r="BB20" s="22"/>
      <c r="BC20" s="23"/>
    </row>
    <row r="21" spans="1:55" ht="15" thickBot="1" x14ac:dyDescent="0.35">
      <c r="A21" s="112">
        <v>16</v>
      </c>
      <c r="B21" s="108" t="s">
        <v>65</v>
      </c>
      <c r="C21" s="38" t="s">
        <v>61</v>
      </c>
      <c r="D21" s="38" t="s">
        <v>62</v>
      </c>
      <c r="E21" s="12">
        <v>0</v>
      </c>
      <c r="F21" s="48">
        <v>9</v>
      </c>
      <c r="G21" s="12">
        <f t="shared" si="10"/>
        <v>19.991999999999997</v>
      </c>
      <c r="H21" s="12">
        <f t="shared" si="2"/>
        <v>10.991999999999997</v>
      </c>
      <c r="I21" s="18"/>
      <c r="J21" s="18"/>
      <c r="K21" s="49"/>
      <c r="L21" s="41"/>
      <c r="M21" s="15"/>
      <c r="N21" s="15"/>
      <c r="O21" s="15"/>
      <c r="P21" s="80" t="s">
        <v>21</v>
      </c>
      <c r="Q21" s="80" t="s">
        <v>21</v>
      </c>
      <c r="R21" s="41"/>
      <c r="S21" s="41"/>
      <c r="T21" s="15">
        <v>8</v>
      </c>
      <c r="U21" s="15">
        <v>8</v>
      </c>
      <c r="V21" s="15">
        <v>8</v>
      </c>
      <c r="W21" s="18">
        <v>8</v>
      </c>
      <c r="X21" s="18">
        <v>8</v>
      </c>
      <c r="Y21" s="41"/>
      <c r="Z21" s="41"/>
      <c r="AA21" s="15" t="s">
        <v>66</v>
      </c>
      <c r="AB21" s="15" t="s">
        <v>31</v>
      </c>
      <c r="AC21" s="15">
        <v>8</v>
      </c>
      <c r="AD21" s="18">
        <v>8</v>
      </c>
      <c r="AE21" s="18">
        <v>8</v>
      </c>
      <c r="AF21" s="49"/>
      <c r="AG21" s="41"/>
      <c r="AH21" s="15">
        <v>8</v>
      </c>
      <c r="AI21" s="15">
        <v>8</v>
      </c>
      <c r="AJ21" s="18">
        <v>8</v>
      </c>
      <c r="AK21" s="118">
        <v>8</v>
      </c>
      <c r="AL21" s="118">
        <v>8</v>
      </c>
      <c r="AM21" s="59"/>
      <c r="AN21" s="67">
        <f t="shared" si="11"/>
        <v>176</v>
      </c>
      <c r="AO21" s="4">
        <f t="shared" si="4"/>
        <v>104</v>
      </c>
      <c r="AP21" s="4">
        <f t="shared" si="0"/>
        <v>-72</v>
      </c>
      <c r="AQ21" s="22"/>
      <c r="AR21" s="65">
        <f t="shared" si="5"/>
        <v>16</v>
      </c>
      <c r="AS21" s="38" t="str">
        <f t="shared" si="6"/>
        <v>Bojan Mikić</v>
      </c>
      <c r="AT21" s="38" t="str">
        <f t="shared" si="7"/>
        <v>Compact - L1</v>
      </c>
      <c r="AU21" s="76">
        <v>19</v>
      </c>
      <c r="AV21" s="22"/>
      <c r="AW21" s="20"/>
      <c r="AX21" s="22"/>
      <c r="AY21" s="36">
        <f t="shared" si="8"/>
        <v>0</v>
      </c>
      <c r="AZ21" s="36" t="s">
        <v>67</v>
      </c>
      <c r="BA21" s="36">
        <v>0</v>
      </c>
      <c r="BB21" s="22"/>
      <c r="BC21" s="23"/>
    </row>
    <row r="22" spans="1:55" ht="15" thickBot="1" x14ac:dyDescent="0.35">
      <c r="A22" s="113">
        <v>17</v>
      </c>
      <c r="B22" s="108" t="s">
        <v>68</v>
      </c>
      <c r="C22" s="38" t="s">
        <v>69</v>
      </c>
      <c r="D22" s="38" t="s">
        <v>52</v>
      </c>
      <c r="E22" s="12">
        <v>0</v>
      </c>
      <c r="F22" s="48">
        <v>13</v>
      </c>
      <c r="G22" s="12">
        <f>11*1.666</f>
        <v>18.326000000000001</v>
      </c>
      <c r="H22" s="12">
        <f t="shared" si="2"/>
        <v>5.3260000000000005</v>
      </c>
      <c r="I22" s="18"/>
      <c r="J22" s="18"/>
      <c r="K22" s="41"/>
      <c r="L22" s="41"/>
      <c r="M22" s="15"/>
      <c r="N22" s="15"/>
      <c r="O22" s="15"/>
      <c r="P22" s="80" t="s">
        <v>21</v>
      </c>
      <c r="Q22" s="80" t="s">
        <v>21</v>
      </c>
      <c r="R22" s="41"/>
      <c r="S22" s="41"/>
      <c r="T22" s="60">
        <v>8</v>
      </c>
      <c r="U22" s="60">
        <v>8</v>
      </c>
      <c r="V22" s="60">
        <v>8</v>
      </c>
      <c r="W22" s="61">
        <v>8</v>
      </c>
      <c r="X22" s="61"/>
      <c r="Y22" s="41"/>
      <c r="Z22" s="41"/>
      <c r="AA22" s="15">
        <v>8</v>
      </c>
      <c r="AB22" s="15">
        <v>8</v>
      </c>
      <c r="AC22" s="15">
        <v>8</v>
      </c>
      <c r="AD22" s="18">
        <v>8</v>
      </c>
      <c r="AE22" s="18">
        <v>8</v>
      </c>
      <c r="AF22" s="41"/>
      <c r="AG22" s="41"/>
      <c r="AH22" s="15">
        <v>8</v>
      </c>
      <c r="AI22" s="15">
        <v>8</v>
      </c>
      <c r="AJ22" s="18">
        <v>8</v>
      </c>
      <c r="AK22" s="118">
        <v>8</v>
      </c>
      <c r="AL22" s="118">
        <v>8</v>
      </c>
      <c r="AM22" s="59">
        <v>8</v>
      </c>
      <c r="AN22" s="67">
        <f t="shared" si="11"/>
        <v>176</v>
      </c>
      <c r="AO22" s="4">
        <f t="shared" si="4"/>
        <v>120</v>
      </c>
      <c r="AP22" s="4">
        <f t="shared" si="0"/>
        <v>-56</v>
      </c>
      <c r="AQ22" s="22"/>
      <c r="AR22" s="65">
        <f t="shared" si="5"/>
        <v>17</v>
      </c>
      <c r="AS22" s="38" t="str">
        <f t="shared" si="6"/>
        <v>Miloš Miloradović</v>
      </c>
      <c r="AT22" s="38" t="str">
        <f t="shared" si="7"/>
        <v>Compact - (OBUKA)</v>
      </c>
      <c r="AU22" s="76">
        <v>18</v>
      </c>
      <c r="AV22" s="22"/>
      <c r="AW22" s="20"/>
      <c r="AX22" s="22"/>
      <c r="AY22" s="36">
        <f t="shared" si="8"/>
        <v>0</v>
      </c>
      <c r="AZ22" s="36"/>
      <c r="BA22" s="36">
        <f t="shared" ref="BA22:BA31" si="12">(COUNTIF(K22:AM22,"go")*8+COUNTIF(K22:AM22,"sd")*8)/8</f>
        <v>2</v>
      </c>
      <c r="BB22" s="22"/>
      <c r="BC22" s="23"/>
    </row>
    <row r="23" spans="1:55" ht="15" thickBot="1" x14ac:dyDescent="0.35">
      <c r="A23" s="112">
        <v>18</v>
      </c>
      <c r="B23" s="108" t="s">
        <v>70</v>
      </c>
      <c r="C23" s="38" t="s">
        <v>71</v>
      </c>
      <c r="D23" s="38" t="s">
        <v>72</v>
      </c>
      <c r="E23" s="12">
        <v>0</v>
      </c>
      <c r="F23" s="48">
        <v>19</v>
      </c>
      <c r="G23" s="12">
        <f t="shared" ref="G23:G30" si="13">12*1.666</f>
        <v>19.991999999999997</v>
      </c>
      <c r="H23" s="12">
        <f t="shared" si="2"/>
        <v>0.99199999999999733</v>
      </c>
      <c r="I23" s="18"/>
      <c r="J23" s="18"/>
      <c r="K23" s="41"/>
      <c r="L23" s="41"/>
      <c r="M23" s="15"/>
      <c r="N23" s="15"/>
      <c r="O23" s="15"/>
      <c r="P23" s="80" t="s">
        <v>21</v>
      </c>
      <c r="Q23" s="80" t="s">
        <v>21</v>
      </c>
      <c r="R23" s="41"/>
      <c r="S23" s="41"/>
      <c r="T23" s="15">
        <v>8</v>
      </c>
      <c r="U23" s="15">
        <v>8</v>
      </c>
      <c r="V23" s="15">
        <v>8</v>
      </c>
      <c r="W23" s="18">
        <v>8</v>
      </c>
      <c r="X23" s="18">
        <v>8</v>
      </c>
      <c r="Y23" s="41"/>
      <c r="Z23" s="41"/>
      <c r="AA23" s="15">
        <v>8</v>
      </c>
      <c r="AB23" s="15">
        <v>8</v>
      </c>
      <c r="AC23" s="15">
        <v>8</v>
      </c>
      <c r="AD23" s="18">
        <v>8</v>
      </c>
      <c r="AE23" s="18">
        <v>8</v>
      </c>
      <c r="AF23" s="41"/>
      <c r="AG23" s="41"/>
      <c r="AH23" s="15">
        <v>8</v>
      </c>
      <c r="AI23" s="15">
        <v>8</v>
      </c>
      <c r="AJ23" s="18">
        <v>8</v>
      </c>
      <c r="AK23" s="118">
        <v>8</v>
      </c>
      <c r="AL23" s="118">
        <v>8</v>
      </c>
      <c r="AM23" s="59"/>
      <c r="AN23" s="67">
        <f t="shared" si="11"/>
        <v>176</v>
      </c>
      <c r="AO23" s="4">
        <f t="shared" si="4"/>
        <v>120</v>
      </c>
      <c r="AP23" s="4">
        <f t="shared" si="0"/>
        <v>-56</v>
      </c>
      <c r="AQ23" s="22"/>
      <c r="AR23" s="65">
        <f t="shared" si="5"/>
        <v>18</v>
      </c>
      <c r="AS23" s="38" t="str">
        <f t="shared" si="6"/>
        <v>Dragan Marković</v>
      </c>
      <c r="AT23" s="38" t="str">
        <f t="shared" si="7"/>
        <v>Universal - Demontaža mala L2</v>
      </c>
      <c r="AU23" s="76">
        <v>16</v>
      </c>
      <c r="AV23" s="22"/>
      <c r="AW23" s="20"/>
      <c r="AX23" s="22"/>
      <c r="AY23" s="36">
        <f t="shared" si="8"/>
        <v>0</v>
      </c>
      <c r="AZ23" s="36"/>
      <c r="BA23" s="36">
        <f t="shared" si="12"/>
        <v>2</v>
      </c>
      <c r="BB23" s="22" t="s">
        <v>73</v>
      </c>
      <c r="BC23" s="23"/>
    </row>
    <row r="24" spans="1:55" ht="15" thickBot="1" x14ac:dyDescent="0.35">
      <c r="A24" s="113">
        <v>19</v>
      </c>
      <c r="B24" s="108" t="s">
        <v>74</v>
      </c>
      <c r="C24" s="38" t="s">
        <v>75</v>
      </c>
      <c r="D24" s="38" t="s">
        <v>76</v>
      </c>
      <c r="E24" s="12">
        <v>0</v>
      </c>
      <c r="F24" s="48">
        <v>13</v>
      </c>
      <c r="G24" s="12">
        <f t="shared" si="13"/>
        <v>19.991999999999997</v>
      </c>
      <c r="H24" s="12">
        <f t="shared" si="2"/>
        <v>6.9919999999999973</v>
      </c>
      <c r="I24" s="18"/>
      <c r="J24" s="18"/>
      <c r="K24" s="41"/>
      <c r="L24" s="41"/>
      <c r="M24" s="15"/>
      <c r="N24" s="15"/>
      <c r="O24" s="15"/>
      <c r="P24" s="80" t="s">
        <v>21</v>
      </c>
      <c r="Q24" s="80" t="s">
        <v>21</v>
      </c>
      <c r="R24" s="41"/>
      <c r="S24" s="41"/>
      <c r="T24" s="15">
        <v>8</v>
      </c>
      <c r="U24" s="15">
        <v>8</v>
      </c>
      <c r="V24" s="15">
        <v>8</v>
      </c>
      <c r="W24" s="18">
        <v>8</v>
      </c>
      <c r="X24" s="18">
        <v>8</v>
      </c>
      <c r="Y24" s="41"/>
      <c r="Z24" s="41"/>
      <c r="AA24" s="15">
        <v>8</v>
      </c>
      <c r="AB24" s="15">
        <v>8</v>
      </c>
      <c r="AC24" s="15">
        <v>8</v>
      </c>
      <c r="AD24" s="18">
        <v>8</v>
      </c>
      <c r="AE24" s="18">
        <v>8</v>
      </c>
      <c r="AF24" s="41"/>
      <c r="AG24" s="41"/>
      <c r="AH24" s="15">
        <v>8</v>
      </c>
      <c r="AI24" s="15">
        <v>8</v>
      </c>
      <c r="AJ24" s="18">
        <v>8</v>
      </c>
      <c r="AK24" s="118">
        <v>8</v>
      </c>
      <c r="AL24" s="118">
        <v>8</v>
      </c>
      <c r="AM24" s="59"/>
      <c r="AN24" s="67">
        <f t="shared" si="11"/>
        <v>176</v>
      </c>
      <c r="AO24" s="4">
        <f t="shared" si="4"/>
        <v>120</v>
      </c>
      <c r="AP24" s="4">
        <f t="shared" si="0"/>
        <v>-56</v>
      </c>
      <c r="AQ24" s="22"/>
      <c r="AR24" s="65">
        <f t="shared" si="5"/>
        <v>19</v>
      </c>
      <c r="AS24" s="38" t="str">
        <f t="shared" si="6"/>
        <v>Predrag Maksić</v>
      </c>
      <c r="AT24" s="38" t="str">
        <f t="shared" si="7"/>
        <v>Universal - Livenje L2</v>
      </c>
      <c r="AU24" s="76">
        <v>23</v>
      </c>
      <c r="AV24" s="20"/>
      <c r="AW24" s="20"/>
      <c r="AX24" s="22"/>
      <c r="AY24" s="36">
        <f t="shared" si="8"/>
        <v>0</v>
      </c>
      <c r="AZ24" s="36"/>
      <c r="BA24" s="36">
        <f t="shared" si="12"/>
        <v>2</v>
      </c>
      <c r="BB24" s="22"/>
      <c r="BC24" s="23"/>
    </row>
    <row r="25" spans="1:55" ht="15" thickBot="1" x14ac:dyDescent="0.35">
      <c r="A25" s="112">
        <v>20</v>
      </c>
      <c r="B25" s="108" t="s">
        <v>77</v>
      </c>
      <c r="C25" s="38" t="s">
        <v>78</v>
      </c>
      <c r="D25" s="38" t="s">
        <v>57</v>
      </c>
      <c r="E25" s="12">
        <v>0</v>
      </c>
      <c r="F25" s="48">
        <v>9</v>
      </c>
      <c r="G25" s="12">
        <f t="shared" si="13"/>
        <v>19.991999999999997</v>
      </c>
      <c r="H25" s="12">
        <f t="shared" si="2"/>
        <v>10.991999999999997</v>
      </c>
      <c r="I25" s="18"/>
      <c r="J25" s="18"/>
      <c r="K25" s="41"/>
      <c r="L25" s="41"/>
      <c r="M25" s="15"/>
      <c r="N25" s="15"/>
      <c r="O25" s="15"/>
      <c r="P25" s="80" t="s">
        <v>21</v>
      </c>
      <c r="Q25" s="80" t="s">
        <v>21</v>
      </c>
      <c r="R25" s="41"/>
      <c r="S25" s="41"/>
      <c r="T25" s="15">
        <v>8</v>
      </c>
      <c r="U25" s="15">
        <v>8</v>
      </c>
      <c r="V25" s="15">
        <v>8</v>
      </c>
      <c r="W25" s="18">
        <v>8</v>
      </c>
      <c r="X25" s="18">
        <v>8</v>
      </c>
      <c r="Y25" s="41"/>
      <c r="Z25" s="41"/>
      <c r="AA25" s="60">
        <v>8</v>
      </c>
      <c r="AB25" s="60">
        <v>8</v>
      </c>
      <c r="AC25" s="60">
        <v>8</v>
      </c>
      <c r="AD25" s="61">
        <v>8</v>
      </c>
      <c r="AE25" s="61">
        <v>1</v>
      </c>
      <c r="AF25" s="41"/>
      <c r="AG25" s="41"/>
      <c r="AH25" s="15">
        <v>8</v>
      </c>
      <c r="AI25" s="15">
        <v>8</v>
      </c>
      <c r="AJ25" s="18">
        <v>8</v>
      </c>
      <c r="AK25" s="118">
        <v>8</v>
      </c>
      <c r="AL25" s="118">
        <v>8</v>
      </c>
      <c r="AM25" s="59"/>
      <c r="AN25" s="67">
        <f t="shared" si="11"/>
        <v>176</v>
      </c>
      <c r="AO25" s="4">
        <f t="shared" si="4"/>
        <v>113</v>
      </c>
      <c r="AP25" s="4">
        <f t="shared" si="0"/>
        <v>-63</v>
      </c>
      <c r="AQ25" s="22"/>
      <c r="AR25" s="65">
        <f t="shared" si="5"/>
        <v>20</v>
      </c>
      <c r="AS25" s="38" t="str">
        <f t="shared" si="6"/>
        <v>Nemanja Đorđević</v>
      </c>
      <c r="AT25" s="38" t="str">
        <f t="shared" si="7"/>
        <v>Univerzal - Demontaža, mala L2</v>
      </c>
      <c r="AU25" s="76">
        <v>14</v>
      </c>
      <c r="AV25" s="22"/>
      <c r="AW25" s="20"/>
      <c r="AX25" s="22"/>
      <c r="AY25" s="36">
        <f t="shared" si="8"/>
        <v>0</v>
      </c>
      <c r="AZ25" s="36"/>
      <c r="BA25" s="36">
        <f t="shared" si="12"/>
        <v>2</v>
      </c>
      <c r="BB25" s="22" t="s">
        <v>79</v>
      </c>
      <c r="BC25" s="23"/>
    </row>
    <row r="26" spans="1:55" ht="15" thickBot="1" x14ac:dyDescent="0.35">
      <c r="A26" s="112">
        <v>21</v>
      </c>
      <c r="B26" s="108" t="s">
        <v>80</v>
      </c>
      <c r="C26" s="38" t="s">
        <v>81</v>
      </c>
      <c r="D26" s="38" t="s">
        <v>57</v>
      </c>
      <c r="E26" s="12">
        <v>0</v>
      </c>
      <c r="F26" s="48">
        <v>16</v>
      </c>
      <c r="G26" s="12">
        <f t="shared" si="13"/>
        <v>19.991999999999997</v>
      </c>
      <c r="H26" s="12">
        <f t="shared" si="2"/>
        <v>3.9919999999999973</v>
      </c>
      <c r="I26" s="18"/>
      <c r="J26" s="18"/>
      <c r="K26" s="41"/>
      <c r="L26" s="41"/>
      <c r="M26" s="15"/>
      <c r="N26" s="15"/>
      <c r="O26" s="15"/>
      <c r="P26" s="80" t="s">
        <v>21</v>
      </c>
      <c r="Q26" s="80" t="s">
        <v>21</v>
      </c>
      <c r="R26" s="41"/>
      <c r="S26" s="41"/>
      <c r="T26" s="15">
        <v>8</v>
      </c>
      <c r="U26" s="15">
        <v>8</v>
      </c>
      <c r="V26" s="15">
        <v>8</v>
      </c>
      <c r="W26" s="18">
        <v>8</v>
      </c>
      <c r="X26" s="18">
        <v>8</v>
      </c>
      <c r="Y26" s="41"/>
      <c r="Z26" s="41"/>
      <c r="AA26" s="60">
        <v>8</v>
      </c>
      <c r="AB26" s="60">
        <v>8</v>
      </c>
      <c r="AC26" s="60">
        <v>8</v>
      </c>
      <c r="AD26" s="61">
        <v>8</v>
      </c>
      <c r="AE26" s="61">
        <v>8</v>
      </c>
      <c r="AF26" s="41"/>
      <c r="AG26" s="41"/>
      <c r="AH26" s="15">
        <v>8</v>
      </c>
      <c r="AI26" s="15">
        <v>8</v>
      </c>
      <c r="AJ26" s="18">
        <v>8</v>
      </c>
      <c r="AK26" s="118">
        <v>8</v>
      </c>
      <c r="AL26" s="118">
        <v>8</v>
      </c>
      <c r="AM26" s="59"/>
      <c r="AN26" s="67">
        <f t="shared" si="11"/>
        <v>176</v>
      </c>
      <c r="AO26" s="4">
        <f t="shared" si="4"/>
        <v>120</v>
      </c>
      <c r="AP26" s="4">
        <f t="shared" si="0"/>
        <v>-56</v>
      </c>
      <c r="AQ26" s="22"/>
      <c r="AR26" s="65">
        <f t="shared" si="5"/>
        <v>21</v>
      </c>
      <c r="AS26" s="38" t="str">
        <f t="shared" si="6"/>
        <v>Željko Ranković</v>
      </c>
      <c r="AT26" s="38" t="str">
        <f t="shared" si="7"/>
        <v>Universal - Demontaža Mala L2</v>
      </c>
      <c r="AU26" s="76">
        <v>15</v>
      </c>
      <c r="AV26" s="22"/>
      <c r="AW26" s="20"/>
      <c r="AX26" s="22"/>
      <c r="AY26" s="36">
        <f t="shared" si="8"/>
        <v>0</v>
      </c>
      <c r="AZ26" s="36"/>
      <c r="BA26" s="36">
        <f t="shared" si="12"/>
        <v>2</v>
      </c>
      <c r="BB26" s="22"/>
      <c r="BC26" s="23"/>
    </row>
    <row r="27" spans="1:55" ht="15" thickBot="1" x14ac:dyDescent="0.35">
      <c r="A27" s="113">
        <v>22</v>
      </c>
      <c r="B27" s="108" t="s">
        <v>82</v>
      </c>
      <c r="C27" s="38" t="s">
        <v>81</v>
      </c>
      <c r="D27" s="38" t="s">
        <v>57</v>
      </c>
      <c r="E27" s="12">
        <v>0</v>
      </c>
      <c r="F27" s="48">
        <v>13</v>
      </c>
      <c r="G27" s="12">
        <f t="shared" si="13"/>
        <v>19.991999999999997</v>
      </c>
      <c r="H27" s="12">
        <f t="shared" si="2"/>
        <v>6.9919999999999973</v>
      </c>
      <c r="I27" s="18"/>
      <c r="J27" s="18"/>
      <c r="K27" s="41"/>
      <c r="L27" s="41"/>
      <c r="M27" s="15"/>
      <c r="N27" s="15"/>
      <c r="O27" s="15"/>
      <c r="P27" s="80" t="s">
        <v>21</v>
      </c>
      <c r="Q27" s="80" t="s">
        <v>21</v>
      </c>
      <c r="R27" s="41"/>
      <c r="S27" s="41"/>
      <c r="T27" s="15">
        <v>8</v>
      </c>
      <c r="U27" s="15">
        <v>8</v>
      </c>
      <c r="V27" s="15">
        <v>8</v>
      </c>
      <c r="W27" s="18">
        <v>8</v>
      </c>
      <c r="X27" s="18">
        <v>8</v>
      </c>
      <c r="Y27" s="41"/>
      <c r="Z27" s="41"/>
      <c r="AA27" s="15">
        <v>8</v>
      </c>
      <c r="AB27" s="18">
        <v>8</v>
      </c>
      <c r="AC27" s="15">
        <v>8</v>
      </c>
      <c r="AD27" s="18">
        <v>8</v>
      </c>
      <c r="AE27" s="18">
        <v>8</v>
      </c>
      <c r="AF27" s="49"/>
      <c r="AG27" s="41"/>
      <c r="AH27" s="114">
        <v>8</v>
      </c>
      <c r="AI27" s="60">
        <v>8</v>
      </c>
      <c r="AJ27" s="61">
        <v>8</v>
      </c>
      <c r="AK27" s="119">
        <v>8</v>
      </c>
      <c r="AL27" s="119">
        <v>8</v>
      </c>
      <c r="AM27" s="59"/>
      <c r="AN27" s="67">
        <f t="shared" si="11"/>
        <v>176</v>
      </c>
      <c r="AO27" s="4">
        <f t="shared" si="4"/>
        <v>120</v>
      </c>
      <c r="AP27" s="4">
        <f t="shared" si="0"/>
        <v>-56</v>
      </c>
      <c r="AQ27" s="22"/>
      <c r="AR27" s="65">
        <f t="shared" si="5"/>
        <v>22</v>
      </c>
      <c r="AS27" s="38" t="str">
        <f t="shared" si="6"/>
        <v>Aleksandar Đorđević</v>
      </c>
      <c r="AT27" s="38" t="str">
        <f t="shared" si="7"/>
        <v>Universal - Demontaža Mala L2</v>
      </c>
      <c r="AU27" s="76">
        <v>13</v>
      </c>
      <c r="AV27" s="22"/>
      <c r="AW27" s="20"/>
      <c r="AX27" s="22"/>
      <c r="AY27" s="36">
        <f t="shared" si="8"/>
        <v>0</v>
      </c>
      <c r="AZ27" s="36"/>
      <c r="BA27" s="36">
        <f t="shared" si="12"/>
        <v>2</v>
      </c>
      <c r="BB27" s="22"/>
      <c r="BC27" s="23"/>
    </row>
    <row r="28" spans="1:55" ht="15" thickBot="1" x14ac:dyDescent="0.35">
      <c r="A28" s="112">
        <v>23</v>
      </c>
      <c r="B28" s="108" t="s">
        <v>83</v>
      </c>
      <c r="C28" s="38" t="s">
        <v>84</v>
      </c>
      <c r="D28" s="38" t="s">
        <v>57</v>
      </c>
      <c r="E28" s="12">
        <v>0</v>
      </c>
      <c r="F28" s="48">
        <v>17</v>
      </c>
      <c r="G28" s="12">
        <f t="shared" si="13"/>
        <v>19.991999999999997</v>
      </c>
      <c r="H28" s="12">
        <f t="shared" si="2"/>
        <v>2.9919999999999973</v>
      </c>
      <c r="I28" s="18"/>
      <c r="J28" s="18"/>
      <c r="K28" s="41"/>
      <c r="L28" s="41"/>
      <c r="M28" s="15"/>
      <c r="N28" s="15"/>
      <c r="O28" s="15"/>
      <c r="P28" s="80" t="s">
        <v>21</v>
      </c>
      <c r="Q28" s="80" t="s">
        <v>21</v>
      </c>
      <c r="R28" s="41"/>
      <c r="S28" s="41"/>
      <c r="T28" s="15">
        <v>8</v>
      </c>
      <c r="U28" s="15">
        <v>8</v>
      </c>
      <c r="V28" s="15">
        <v>8</v>
      </c>
      <c r="W28" s="18">
        <v>8</v>
      </c>
      <c r="X28" s="18">
        <v>8</v>
      </c>
      <c r="Y28" s="41"/>
      <c r="Z28" s="41"/>
      <c r="AA28" s="15">
        <v>8</v>
      </c>
      <c r="AB28" s="15" t="s">
        <v>31</v>
      </c>
      <c r="AC28" s="15">
        <v>8</v>
      </c>
      <c r="AD28" s="18">
        <v>8</v>
      </c>
      <c r="AE28" s="18">
        <v>8</v>
      </c>
      <c r="AF28" s="41"/>
      <c r="AG28" s="41"/>
      <c r="AH28" s="60">
        <v>8</v>
      </c>
      <c r="AI28" s="60">
        <v>8</v>
      </c>
      <c r="AJ28" s="61">
        <v>8</v>
      </c>
      <c r="AK28" s="119">
        <v>3</v>
      </c>
      <c r="AL28" s="119" t="s">
        <v>66</v>
      </c>
      <c r="AM28" s="59"/>
      <c r="AN28" s="67">
        <f t="shared" si="11"/>
        <v>176</v>
      </c>
      <c r="AO28" s="4">
        <f t="shared" si="4"/>
        <v>99</v>
      </c>
      <c r="AP28" s="4">
        <f t="shared" si="0"/>
        <v>-77</v>
      </c>
      <c r="AQ28" s="22"/>
      <c r="AR28" s="65">
        <f t="shared" si="5"/>
        <v>23</v>
      </c>
      <c r="AS28" s="38" t="str">
        <f t="shared" si="6"/>
        <v>Draško Stojadinović</v>
      </c>
      <c r="AT28" s="38" t="str">
        <f t="shared" si="7"/>
        <v>Universal - Demontaža Velika L2</v>
      </c>
      <c r="AU28" s="76">
        <v>13</v>
      </c>
      <c r="AV28" s="22"/>
      <c r="AW28" s="20"/>
      <c r="AX28" s="22"/>
      <c r="AY28" s="36">
        <f t="shared" si="8"/>
        <v>0</v>
      </c>
      <c r="AZ28" s="36"/>
      <c r="BA28" s="36">
        <f t="shared" si="12"/>
        <v>3</v>
      </c>
      <c r="BB28" s="22"/>
      <c r="BC28" s="23"/>
    </row>
    <row r="29" spans="1:55" ht="15" thickBot="1" x14ac:dyDescent="0.35">
      <c r="A29" s="113">
        <v>24</v>
      </c>
      <c r="B29" s="108" t="s">
        <v>85</v>
      </c>
      <c r="C29" s="38" t="s">
        <v>86</v>
      </c>
      <c r="D29" s="38" t="s">
        <v>87</v>
      </c>
      <c r="E29" s="12">
        <v>0</v>
      </c>
      <c r="F29" s="48">
        <v>27</v>
      </c>
      <c r="G29" s="12">
        <f t="shared" si="13"/>
        <v>19.991999999999997</v>
      </c>
      <c r="H29" s="12">
        <f t="shared" si="2"/>
        <v>-7.0080000000000027</v>
      </c>
      <c r="I29" s="18"/>
      <c r="J29" s="18"/>
      <c r="K29" s="41"/>
      <c r="L29" s="41"/>
      <c r="M29" s="15">
        <v>8</v>
      </c>
      <c r="N29" s="15"/>
      <c r="O29" s="15"/>
      <c r="P29" s="80" t="s">
        <v>21</v>
      </c>
      <c r="Q29" s="80" t="s">
        <v>21</v>
      </c>
      <c r="R29" s="41"/>
      <c r="S29" s="41"/>
      <c r="T29" s="15">
        <v>8</v>
      </c>
      <c r="U29" s="15">
        <v>8</v>
      </c>
      <c r="V29" s="15">
        <v>8</v>
      </c>
      <c r="W29" s="18">
        <v>8</v>
      </c>
      <c r="X29" s="18">
        <v>8</v>
      </c>
      <c r="Y29" s="41"/>
      <c r="Z29" s="41"/>
      <c r="AA29" s="15">
        <v>8</v>
      </c>
      <c r="AB29" s="15">
        <v>8</v>
      </c>
      <c r="AC29" s="15">
        <v>8</v>
      </c>
      <c r="AD29" s="18">
        <v>8</v>
      </c>
      <c r="AE29" s="18">
        <v>8</v>
      </c>
      <c r="AF29" s="41"/>
      <c r="AG29" s="41"/>
      <c r="AH29" s="15">
        <v>8</v>
      </c>
      <c r="AI29" s="15">
        <v>8</v>
      </c>
      <c r="AJ29" s="18">
        <v>8</v>
      </c>
      <c r="AK29" s="118">
        <v>8</v>
      </c>
      <c r="AL29" s="118">
        <v>8</v>
      </c>
      <c r="AM29" s="59"/>
      <c r="AN29" s="95">
        <f>22*8</f>
        <v>176</v>
      </c>
      <c r="AO29" s="4">
        <f t="shared" si="4"/>
        <v>128</v>
      </c>
      <c r="AP29" s="4">
        <f t="shared" si="0"/>
        <v>-48</v>
      </c>
      <c r="AQ29" s="22"/>
      <c r="AR29" s="65">
        <f t="shared" si="5"/>
        <v>24</v>
      </c>
      <c r="AS29" s="38" t="str">
        <f t="shared" si="6"/>
        <v>Mladen Simić</v>
      </c>
      <c r="AT29" s="38" t="str">
        <f t="shared" si="7"/>
        <v>Rodicut - Demontaža L3</v>
      </c>
      <c r="AU29" s="76">
        <v>23</v>
      </c>
      <c r="AV29" s="22"/>
      <c r="AW29" s="22"/>
      <c r="AX29" s="22"/>
      <c r="AY29" s="36">
        <f t="shared" si="8"/>
        <v>0</v>
      </c>
      <c r="AZ29" s="36"/>
      <c r="BA29" s="36">
        <f t="shared" si="12"/>
        <v>2</v>
      </c>
      <c r="BB29" s="22"/>
      <c r="BC29" s="23"/>
    </row>
    <row r="30" spans="1:55" ht="15" thickBot="1" x14ac:dyDescent="0.35">
      <c r="A30" s="112">
        <v>25</v>
      </c>
      <c r="B30" s="108" t="s">
        <v>88</v>
      </c>
      <c r="C30" s="38" t="s">
        <v>89</v>
      </c>
      <c r="D30" s="38" t="s">
        <v>90</v>
      </c>
      <c r="E30" s="12">
        <v>0</v>
      </c>
      <c r="F30" s="48">
        <v>17</v>
      </c>
      <c r="G30" s="12">
        <f t="shared" si="13"/>
        <v>19.991999999999997</v>
      </c>
      <c r="H30" s="12">
        <f t="shared" si="2"/>
        <v>2.9919999999999973</v>
      </c>
      <c r="I30" s="18"/>
      <c r="J30" s="18"/>
      <c r="K30" s="41"/>
      <c r="L30" s="41"/>
      <c r="M30" s="15">
        <v>8</v>
      </c>
      <c r="N30" s="15"/>
      <c r="O30" s="15"/>
      <c r="P30" s="80" t="s">
        <v>21</v>
      </c>
      <c r="Q30" s="80" t="s">
        <v>21</v>
      </c>
      <c r="R30" s="41"/>
      <c r="S30" s="41"/>
      <c r="T30" s="60">
        <v>8</v>
      </c>
      <c r="U30" s="60">
        <v>8</v>
      </c>
      <c r="V30" s="60">
        <v>8</v>
      </c>
      <c r="W30" s="61">
        <v>8</v>
      </c>
      <c r="X30" s="61"/>
      <c r="Y30" s="41"/>
      <c r="Z30" s="41"/>
      <c r="AA30" s="15">
        <v>8</v>
      </c>
      <c r="AB30" s="15">
        <v>8</v>
      </c>
      <c r="AC30" s="15">
        <v>8</v>
      </c>
      <c r="AD30" s="18">
        <v>8</v>
      </c>
      <c r="AE30" s="18">
        <v>8</v>
      </c>
      <c r="AF30" s="41"/>
      <c r="AG30" s="41"/>
      <c r="AH30" s="15">
        <v>8</v>
      </c>
      <c r="AI30" s="15">
        <v>8</v>
      </c>
      <c r="AJ30" s="18">
        <v>8</v>
      </c>
      <c r="AK30" s="118">
        <v>8</v>
      </c>
      <c r="AL30" s="118">
        <v>8</v>
      </c>
      <c r="AM30" s="59"/>
      <c r="AN30" s="95">
        <f t="shared" ref="AN30:AN32" si="14">22*8</f>
        <v>176</v>
      </c>
      <c r="AO30" s="4">
        <f t="shared" si="4"/>
        <v>120</v>
      </c>
      <c r="AP30" s="4">
        <f t="shared" si="0"/>
        <v>-56</v>
      </c>
      <c r="AQ30" s="22"/>
      <c r="AR30" s="65">
        <f t="shared" si="5"/>
        <v>25</v>
      </c>
      <c r="AS30" s="38" t="str">
        <f t="shared" si="6"/>
        <v>Ivan Aćimović</v>
      </c>
      <c r="AT30" s="38" t="str">
        <f t="shared" si="7"/>
        <v>Strug 1</v>
      </c>
      <c r="AU30" s="76">
        <v>15</v>
      </c>
      <c r="AV30" s="22"/>
      <c r="AW30" s="20"/>
      <c r="AX30" s="22"/>
      <c r="AY30" s="36">
        <f t="shared" si="8"/>
        <v>0</v>
      </c>
      <c r="AZ30" s="36"/>
      <c r="BA30" s="36">
        <f t="shared" si="12"/>
        <v>2</v>
      </c>
      <c r="BB30" s="22"/>
      <c r="BC30" s="23"/>
    </row>
    <row r="31" spans="1:55" ht="15" thickBot="1" x14ac:dyDescent="0.35">
      <c r="A31" s="113">
        <v>26</v>
      </c>
      <c r="B31" s="108" t="s">
        <v>91</v>
      </c>
      <c r="C31" s="38" t="s">
        <v>86</v>
      </c>
      <c r="D31" s="38" t="s">
        <v>87</v>
      </c>
      <c r="E31" s="12">
        <v>0</v>
      </c>
      <c r="F31" s="48">
        <v>12</v>
      </c>
      <c r="G31" s="12">
        <f>7*1.666</f>
        <v>11.661999999999999</v>
      </c>
      <c r="H31" s="12">
        <f t="shared" si="2"/>
        <v>-0.33800000000000097</v>
      </c>
      <c r="I31" s="18"/>
      <c r="J31" s="18"/>
      <c r="K31" s="41"/>
      <c r="L31" s="41"/>
      <c r="M31" s="15"/>
      <c r="N31" s="15"/>
      <c r="O31" s="15"/>
      <c r="P31" s="80" t="s">
        <v>21</v>
      </c>
      <c r="Q31" s="80" t="s">
        <v>21</v>
      </c>
      <c r="R31" s="41"/>
      <c r="S31" s="41"/>
      <c r="T31" s="15">
        <v>8</v>
      </c>
      <c r="U31" s="15">
        <v>8</v>
      </c>
      <c r="V31" s="15">
        <v>8</v>
      </c>
      <c r="W31" s="18">
        <v>8</v>
      </c>
      <c r="X31" s="18">
        <v>8</v>
      </c>
      <c r="Y31" s="41"/>
      <c r="Z31" s="41"/>
      <c r="AA31" s="15">
        <v>8</v>
      </c>
      <c r="AB31" s="15" t="s">
        <v>31</v>
      </c>
      <c r="AC31" s="15">
        <v>8</v>
      </c>
      <c r="AD31" s="18">
        <v>8</v>
      </c>
      <c r="AE31" s="18"/>
      <c r="AF31" s="41"/>
      <c r="AG31" s="41"/>
      <c r="AH31" s="15">
        <v>8</v>
      </c>
      <c r="AI31" s="15">
        <v>8</v>
      </c>
      <c r="AJ31" s="18">
        <v>8</v>
      </c>
      <c r="AK31" s="118">
        <v>8</v>
      </c>
      <c r="AL31" s="118">
        <v>8</v>
      </c>
      <c r="AM31" s="59"/>
      <c r="AN31" s="95">
        <f t="shared" si="14"/>
        <v>176</v>
      </c>
      <c r="AO31" s="4">
        <f t="shared" si="4"/>
        <v>104</v>
      </c>
      <c r="AP31" s="4">
        <f t="shared" si="0"/>
        <v>-72</v>
      </c>
      <c r="AQ31" s="22"/>
      <c r="AR31" s="65">
        <f t="shared" si="5"/>
        <v>26</v>
      </c>
      <c r="AS31" s="38" t="str">
        <f t="shared" si="6"/>
        <v>David Zivic</v>
      </c>
      <c r="AT31" s="38" t="str">
        <f t="shared" si="7"/>
        <v>Rodicut - Demontaža L3</v>
      </c>
      <c r="AU31" s="76">
        <v>23</v>
      </c>
      <c r="AV31" s="22"/>
      <c r="AW31" s="20"/>
      <c r="AX31" s="22"/>
      <c r="AY31" s="36">
        <f t="shared" si="8"/>
        <v>0</v>
      </c>
      <c r="AZ31" s="36"/>
      <c r="BA31" s="36">
        <f t="shared" si="12"/>
        <v>2</v>
      </c>
      <c r="BB31" s="22"/>
      <c r="BC31" s="23"/>
    </row>
    <row r="32" spans="1:55" ht="15" thickBot="1" x14ac:dyDescent="0.35">
      <c r="A32" s="112">
        <v>27</v>
      </c>
      <c r="B32" s="108" t="s">
        <v>92</v>
      </c>
      <c r="C32" s="38" t="s">
        <v>86</v>
      </c>
      <c r="D32" s="38" t="s">
        <v>87</v>
      </c>
      <c r="E32" s="12">
        <v>0</v>
      </c>
      <c r="F32" s="48">
        <v>17</v>
      </c>
      <c r="G32" s="12">
        <f>12*1.666</f>
        <v>19.991999999999997</v>
      </c>
      <c r="H32" s="12">
        <f t="shared" si="2"/>
        <v>2.9919999999999973</v>
      </c>
      <c r="I32" s="18"/>
      <c r="J32" s="18"/>
      <c r="K32" s="41"/>
      <c r="L32" s="41"/>
      <c r="M32" s="15"/>
      <c r="N32" s="15"/>
      <c r="O32" s="15"/>
      <c r="P32" s="80" t="s">
        <v>21</v>
      </c>
      <c r="Q32" s="80" t="s">
        <v>21</v>
      </c>
      <c r="R32" s="41"/>
      <c r="S32" s="41"/>
      <c r="T32" s="15">
        <v>8</v>
      </c>
      <c r="U32" s="15">
        <v>8</v>
      </c>
      <c r="V32" s="15">
        <v>8</v>
      </c>
      <c r="W32" s="18">
        <v>8</v>
      </c>
      <c r="X32" s="18">
        <v>8</v>
      </c>
      <c r="Y32" s="41"/>
      <c r="Z32" s="41"/>
      <c r="AA32" s="15">
        <v>8</v>
      </c>
      <c r="AB32" s="15" t="s">
        <v>31</v>
      </c>
      <c r="AC32" s="15">
        <v>8</v>
      </c>
      <c r="AD32" s="18">
        <v>8</v>
      </c>
      <c r="AE32" s="18">
        <v>8</v>
      </c>
      <c r="AF32" s="41"/>
      <c r="AG32" s="41"/>
      <c r="AH32" s="15">
        <v>8</v>
      </c>
      <c r="AI32" s="15">
        <v>8</v>
      </c>
      <c r="AJ32" s="18">
        <v>8</v>
      </c>
      <c r="AK32" s="118">
        <v>8</v>
      </c>
      <c r="AL32" s="118">
        <v>8</v>
      </c>
      <c r="AM32" s="59"/>
      <c r="AN32" s="95">
        <f t="shared" si="14"/>
        <v>176</v>
      </c>
      <c r="AO32" s="4">
        <f t="shared" si="4"/>
        <v>112</v>
      </c>
      <c r="AP32" s="4">
        <f t="shared" si="0"/>
        <v>-64</v>
      </c>
      <c r="AQ32" s="22"/>
      <c r="AR32" s="65">
        <f t="shared" si="5"/>
        <v>27</v>
      </c>
      <c r="AS32" s="38" t="str">
        <f t="shared" si="6"/>
        <v>Dejan Jović</v>
      </c>
      <c r="AT32" s="38" t="str">
        <f t="shared" si="7"/>
        <v>Rodicut - Demontaža L3</v>
      </c>
      <c r="AU32" s="76">
        <v>14</v>
      </c>
      <c r="AV32" s="20"/>
      <c r="AW32" s="20"/>
      <c r="AX32" s="22"/>
      <c r="AY32" s="36">
        <f t="shared" si="8"/>
        <v>0</v>
      </c>
      <c r="AZ32" s="36"/>
      <c r="BA32" s="36">
        <v>4</v>
      </c>
      <c r="BB32" s="22" t="s">
        <v>33</v>
      </c>
      <c r="BC32" s="23"/>
    </row>
    <row r="33" spans="1:55" ht="15" thickBot="1" x14ac:dyDescent="0.35">
      <c r="A33" s="113">
        <v>28</v>
      </c>
      <c r="B33" s="108" t="s">
        <v>93</v>
      </c>
      <c r="C33" s="38" t="s">
        <v>94</v>
      </c>
      <c r="D33" s="38" t="s">
        <v>62</v>
      </c>
      <c r="E33" s="12">
        <v>0</v>
      </c>
      <c r="F33" s="48">
        <v>17</v>
      </c>
      <c r="G33" s="12">
        <f t="shared" ref="G33:G38" si="15">12*1.666</f>
        <v>19.991999999999997</v>
      </c>
      <c r="H33" s="12">
        <f t="shared" si="2"/>
        <v>2.9919999999999973</v>
      </c>
      <c r="I33" s="18"/>
      <c r="J33" s="18"/>
      <c r="K33" s="41"/>
      <c r="L33" s="41"/>
      <c r="M33" s="15"/>
      <c r="N33" s="15"/>
      <c r="O33" s="15"/>
      <c r="P33" s="80" t="s">
        <v>21</v>
      </c>
      <c r="Q33" s="80" t="s">
        <v>21</v>
      </c>
      <c r="R33" s="41"/>
      <c r="S33" s="41"/>
      <c r="T33" s="15">
        <v>8</v>
      </c>
      <c r="U33" s="15">
        <v>8</v>
      </c>
      <c r="V33" s="15">
        <v>8</v>
      </c>
      <c r="W33" s="18">
        <v>8</v>
      </c>
      <c r="X33" s="18">
        <v>8</v>
      </c>
      <c r="Y33" s="41"/>
      <c r="Z33" s="41"/>
      <c r="AA33" s="15">
        <v>8</v>
      </c>
      <c r="AB33" s="15">
        <v>8</v>
      </c>
      <c r="AC33" s="15">
        <v>8</v>
      </c>
      <c r="AD33" s="18">
        <v>8</v>
      </c>
      <c r="AE33" s="18">
        <v>8</v>
      </c>
      <c r="AF33" s="41"/>
      <c r="AG33" s="41"/>
      <c r="AH33" s="15">
        <v>8</v>
      </c>
      <c r="AI33" s="15">
        <v>8</v>
      </c>
      <c r="AJ33" s="18">
        <v>8</v>
      </c>
      <c r="AK33" s="118">
        <v>8</v>
      </c>
      <c r="AL33" s="118">
        <v>8</v>
      </c>
      <c r="AM33" s="59"/>
      <c r="AN33" s="96">
        <f>22*8</f>
        <v>176</v>
      </c>
      <c r="AO33" s="4">
        <f t="shared" si="4"/>
        <v>120</v>
      </c>
      <c r="AP33" s="4">
        <f t="shared" si="0"/>
        <v>-56</v>
      </c>
      <c r="AQ33" s="22"/>
      <c r="AR33" s="65">
        <f t="shared" si="5"/>
        <v>28</v>
      </c>
      <c r="AS33" s="38" t="str">
        <f t="shared" si="6"/>
        <v>Aleksandar Milošević</v>
      </c>
      <c r="AT33" s="38" t="str">
        <f t="shared" si="7"/>
        <v>Livenje L4</v>
      </c>
      <c r="AU33" s="76">
        <v>8</v>
      </c>
      <c r="AV33" s="20"/>
      <c r="AW33" s="20"/>
      <c r="AX33" s="22"/>
      <c r="AY33" s="36">
        <f t="shared" si="8"/>
        <v>0</v>
      </c>
      <c r="AZ33" s="36" t="s">
        <v>95</v>
      </c>
      <c r="BA33" s="36">
        <f>(COUNTIF(K33:AM33,"go")*8+COUNTIF(K33:AM33,"sd")*8)/8</f>
        <v>2</v>
      </c>
      <c r="BB33" s="22" t="s">
        <v>96</v>
      </c>
      <c r="BC33" s="23"/>
    </row>
    <row r="34" spans="1:55" ht="15" thickBot="1" x14ac:dyDescent="0.35">
      <c r="A34" s="112">
        <v>29</v>
      </c>
      <c r="B34" s="108" t="s">
        <v>97</v>
      </c>
      <c r="C34" s="38" t="s">
        <v>98</v>
      </c>
      <c r="D34" s="38" t="s">
        <v>99</v>
      </c>
      <c r="E34" s="12">
        <v>0</v>
      </c>
      <c r="F34" s="48">
        <v>17</v>
      </c>
      <c r="G34" s="12">
        <f t="shared" si="15"/>
        <v>19.991999999999997</v>
      </c>
      <c r="H34" s="12">
        <f t="shared" si="2"/>
        <v>2.9919999999999973</v>
      </c>
      <c r="I34" s="18"/>
      <c r="J34" s="18"/>
      <c r="K34" s="41"/>
      <c r="L34" s="41"/>
      <c r="M34" s="15"/>
      <c r="N34" s="15"/>
      <c r="O34" s="15"/>
      <c r="P34" s="80" t="s">
        <v>21</v>
      </c>
      <c r="Q34" s="80" t="s">
        <v>21</v>
      </c>
      <c r="R34" s="41"/>
      <c r="S34" s="41"/>
      <c r="T34" s="15">
        <v>8</v>
      </c>
      <c r="U34" s="15">
        <v>8</v>
      </c>
      <c r="V34" s="15">
        <v>8</v>
      </c>
      <c r="W34" s="18">
        <v>8</v>
      </c>
      <c r="X34" s="18">
        <v>8</v>
      </c>
      <c r="Y34" s="41"/>
      <c r="Z34" s="41"/>
      <c r="AA34" s="15">
        <v>8</v>
      </c>
      <c r="AB34" s="15">
        <v>8</v>
      </c>
      <c r="AC34" s="15">
        <v>8</v>
      </c>
      <c r="AD34" s="18">
        <v>8</v>
      </c>
      <c r="AE34" s="18">
        <v>8</v>
      </c>
      <c r="AF34" s="41"/>
      <c r="AG34" s="41"/>
      <c r="AH34" s="15">
        <v>8</v>
      </c>
      <c r="AI34" s="15">
        <v>8</v>
      </c>
      <c r="AJ34" s="18">
        <v>8</v>
      </c>
      <c r="AK34" s="118">
        <v>8</v>
      </c>
      <c r="AL34" s="118">
        <v>8</v>
      </c>
      <c r="AM34" s="59"/>
      <c r="AN34" s="96">
        <f t="shared" ref="AN34:AN36" si="16">22*8</f>
        <v>176</v>
      </c>
      <c r="AO34" s="4">
        <f t="shared" si="4"/>
        <v>120</v>
      </c>
      <c r="AP34" s="4">
        <f t="shared" si="0"/>
        <v>-56</v>
      </c>
      <c r="AQ34" s="22"/>
      <c r="AR34" s="65">
        <f t="shared" si="5"/>
        <v>29</v>
      </c>
      <c r="AS34" s="38" t="str">
        <f t="shared" si="6"/>
        <v>Darko Golubović</v>
      </c>
      <c r="AT34" s="38" t="str">
        <f t="shared" si="7"/>
        <v>Demontaža L4</v>
      </c>
      <c r="AU34" s="76">
        <v>23</v>
      </c>
      <c r="AV34" s="20"/>
      <c r="AW34" s="20"/>
      <c r="AX34" s="22"/>
      <c r="AY34" s="36">
        <f t="shared" si="8"/>
        <v>0</v>
      </c>
      <c r="AZ34" s="36"/>
      <c r="BA34" s="36">
        <f>(COUNTIF(K34:AM34,"go")*8+COUNTIF(K34:AM34,"sd")*8)/8</f>
        <v>2</v>
      </c>
      <c r="BB34" s="22"/>
      <c r="BC34" s="23"/>
    </row>
    <row r="35" spans="1:55" ht="15" thickBot="1" x14ac:dyDescent="0.35">
      <c r="A35" s="113">
        <v>30</v>
      </c>
      <c r="B35" s="108" t="s">
        <v>100</v>
      </c>
      <c r="C35" s="38" t="s">
        <v>101</v>
      </c>
      <c r="D35" s="38" t="s">
        <v>90</v>
      </c>
      <c r="E35" s="12">
        <v>0</v>
      </c>
      <c r="F35" s="48">
        <v>21</v>
      </c>
      <c r="G35" s="12">
        <f t="shared" si="15"/>
        <v>19.991999999999997</v>
      </c>
      <c r="H35" s="12">
        <f t="shared" si="2"/>
        <v>-1.0080000000000027</v>
      </c>
      <c r="I35" s="18"/>
      <c r="J35" s="18"/>
      <c r="K35" s="41"/>
      <c r="L35" s="41"/>
      <c r="M35" s="15"/>
      <c r="N35" s="15"/>
      <c r="O35" s="15"/>
      <c r="P35" s="80" t="s">
        <v>21</v>
      </c>
      <c r="Q35" s="80" t="s">
        <v>21</v>
      </c>
      <c r="R35" s="41"/>
      <c r="S35" s="41"/>
      <c r="T35" s="60">
        <v>8</v>
      </c>
      <c r="U35" s="60">
        <v>8</v>
      </c>
      <c r="V35" s="60">
        <v>8</v>
      </c>
      <c r="W35" s="61">
        <v>8</v>
      </c>
      <c r="X35" s="61"/>
      <c r="Y35" s="41"/>
      <c r="Z35" s="41"/>
      <c r="AA35" s="15">
        <v>8</v>
      </c>
      <c r="AB35" s="15">
        <v>8</v>
      </c>
      <c r="AC35" s="15">
        <v>8</v>
      </c>
      <c r="AD35" s="18">
        <v>8</v>
      </c>
      <c r="AE35" s="18">
        <v>8</v>
      </c>
      <c r="AF35" s="41"/>
      <c r="AG35" s="41"/>
      <c r="AH35" s="15">
        <v>8</v>
      </c>
      <c r="AI35" s="15">
        <v>8</v>
      </c>
      <c r="AJ35" s="18">
        <v>8</v>
      </c>
      <c r="AK35" s="118">
        <v>8</v>
      </c>
      <c r="AL35" s="118">
        <v>8</v>
      </c>
      <c r="AM35" s="59"/>
      <c r="AN35" s="96">
        <f t="shared" si="16"/>
        <v>176</v>
      </c>
      <c r="AO35" s="4">
        <f t="shared" si="4"/>
        <v>112</v>
      </c>
      <c r="AP35" s="4">
        <f t="shared" si="0"/>
        <v>-64</v>
      </c>
      <c r="AQ35" s="22"/>
      <c r="AR35" s="65">
        <f t="shared" si="5"/>
        <v>30</v>
      </c>
      <c r="AS35" s="38" t="str">
        <f t="shared" si="6"/>
        <v>Darko Životić</v>
      </c>
      <c r="AT35" s="38" t="str">
        <f t="shared" si="7"/>
        <v>Aurora L4 - strug</v>
      </c>
      <c r="AU35" s="76">
        <v>14</v>
      </c>
      <c r="AV35" s="20"/>
      <c r="AW35" s="20"/>
      <c r="AX35" s="22"/>
      <c r="AY35" s="36">
        <f t="shared" si="8"/>
        <v>0</v>
      </c>
      <c r="AZ35" s="36"/>
      <c r="BA35" s="36">
        <f>(COUNTIF(K35:AM35,"go")*8+COUNTIF(K35:AM35,"sd")*8)/8</f>
        <v>2</v>
      </c>
      <c r="BB35" s="22" t="s">
        <v>53</v>
      </c>
      <c r="BC35" s="23"/>
    </row>
    <row r="36" spans="1:55" ht="15" thickBot="1" x14ac:dyDescent="0.35">
      <c r="A36" s="112">
        <v>31</v>
      </c>
      <c r="B36" s="108" t="s">
        <v>102</v>
      </c>
      <c r="C36" s="38" t="s">
        <v>103</v>
      </c>
      <c r="D36" s="38" t="s">
        <v>104</v>
      </c>
      <c r="E36" s="12">
        <v>0</v>
      </c>
      <c r="F36" s="48">
        <v>17</v>
      </c>
      <c r="G36" s="12">
        <f t="shared" si="15"/>
        <v>19.991999999999997</v>
      </c>
      <c r="H36" s="12">
        <f t="shared" si="2"/>
        <v>2.9919999999999973</v>
      </c>
      <c r="I36" s="18"/>
      <c r="J36" s="18"/>
      <c r="K36" s="41"/>
      <c r="L36" s="41"/>
      <c r="M36" s="15"/>
      <c r="N36" s="15"/>
      <c r="O36" s="15"/>
      <c r="P36" s="80" t="s">
        <v>21</v>
      </c>
      <c r="Q36" s="80" t="s">
        <v>21</v>
      </c>
      <c r="R36" s="41"/>
      <c r="S36" s="41"/>
      <c r="T36" s="15">
        <v>8</v>
      </c>
      <c r="U36" s="15">
        <v>8</v>
      </c>
      <c r="V36" s="15">
        <v>8</v>
      </c>
      <c r="W36" s="18">
        <v>8</v>
      </c>
      <c r="X36" s="18">
        <v>8</v>
      </c>
      <c r="Y36" s="41"/>
      <c r="Z36" s="41"/>
      <c r="AA36" s="15">
        <v>8</v>
      </c>
      <c r="AB36" s="15">
        <v>8</v>
      </c>
      <c r="AC36" s="15">
        <v>8</v>
      </c>
      <c r="AD36" s="18">
        <v>8</v>
      </c>
      <c r="AE36" s="18">
        <v>8</v>
      </c>
      <c r="AF36" s="41"/>
      <c r="AG36" s="41"/>
      <c r="AH36" s="15">
        <v>8</v>
      </c>
      <c r="AI36" s="15">
        <v>8</v>
      </c>
      <c r="AJ36" s="18">
        <v>8</v>
      </c>
      <c r="AK36" s="118">
        <v>8</v>
      </c>
      <c r="AL36" s="118">
        <v>8</v>
      </c>
      <c r="AM36" s="59">
        <v>8</v>
      </c>
      <c r="AN36" s="96">
        <f t="shared" si="16"/>
        <v>176</v>
      </c>
      <c r="AO36" s="4">
        <f t="shared" si="4"/>
        <v>128</v>
      </c>
      <c r="AP36" s="4">
        <f t="shared" si="0"/>
        <v>-48</v>
      </c>
      <c r="AQ36" s="22"/>
      <c r="AR36" s="65">
        <f t="shared" si="5"/>
        <v>31</v>
      </c>
      <c r="AS36" s="38" t="str">
        <f t="shared" si="6"/>
        <v>Dragana Gvozdić</v>
      </c>
      <c r="AT36" s="38" t="str">
        <f t="shared" si="7"/>
        <v>Aurora L4</v>
      </c>
      <c r="AU36" s="76">
        <v>19</v>
      </c>
      <c r="AV36" s="20"/>
      <c r="AW36" s="20"/>
      <c r="AX36" s="22"/>
      <c r="AY36" s="36">
        <f t="shared" si="8"/>
        <v>0</v>
      </c>
      <c r="AZ36" s="36" t="s">
        <v>105</v>
      </c>
      <c r="BA36" s="36">
        <f>(COUNTIF(K36:AM36,"go")*8+COUNTIF(K36:AM36,"sd")*8)/8</f>
        <v>2</v>
      </c>
      <c r="BB36" s="22" t="s">
        <v>106</v>
      </c>
      <c r="BC36" s="23"/>
    </row>
    <row r="37" spans="1:55" ht="15" thickBot="1" x14ac:dyDescent="0.35">
      <c r="A37" s="113">
        <v>32</v>
      </c>
      <c r="B37" s="108" t="s">
        <v>107</v>
      </c>
      <c r="C37" s="38" t="s">
        <v>108</v>
      </c>
      <c r="D37" s="38" t="s">
        <v>90</v>
      </c>
      <c r="E37" s="12">
        <v>0</v>
      </c>
      <c r="F37" s="48">
        <v>9</v>
      </c>
      <c r="G37" s="12">
        <f t="shared" si="15"/>
        <v>19.991999999999997</v>
      </c>
      <c r="H37" s="12">
        <f t="shared" si="2"/>
        <v>10.991999999999997</v>
      </c>
      <c r="I37" s="18"/>
      <c r="J37" s="18"/>
      <c r="K37" s="41"/>
      <c r="L37" s="41"/>
      <c r="M37" s="15"/>
      <c r="N37" s="15"/>
      <c r="O37" s="15"/>
      <c r="P37" s="80" t="s">
        <v>21</v>
      </c>
      <c r="Q37" s="80" t="s">
        <v>21</v>
      </c>
      <c r="R37" s="41"/>
      <c r="S37" s="41"/>
      <c r="T37" s="15">
        <v>8</v>
      </c>
      <c r="U37" s="15">
        <v>8</v>
      </c>
      <c r="V37" s="15">
        <v>8</v>
      </c>
      <c r="W37" s="18">
        <v>8</v>
      </c>
      <c r="X37" s="18">
        <v>8</v>
      </c>
      <c r="Y37" s="41"/>
      <c r="Z37" s="41"/>
      <c r="AA37" s="60">
        <v>8</v>
      </c>
      <c r="AB37" s="60" t="s">
        <v>31</v>
      </c>
      <c r="AC37" s="60">
        <v>8</v>
      </c>
      <c r="AD37" s="61">
        <v>8</v>
      </c>
      <c r="AE37" s="61">
        <v>8</v>
      </c>
      <c r="AF37" s="41"/>
      <c r="AG37" s="41"/>
      <c r="AH37" s="15">
        <v>8</v>
      </c>
      <c r="AI37" s="15">
        <v>8</v>
      </c>
      <c r="AJ37" s="18">
        <v>8</v>
      </c>
      <c r="AK37" s="118">
        <v>8</v>
      </c>
      <c r="AL37" s="118">
        <v>8</v>
      </c>
      <c r="AM37" s="59"/>
      <c r="AN37" s="67">
        <f>22*8</f>
        <v>176</v>
      </c>
      <c r="AO37" s="4">
        <f t="shared" si="4"/>
        <v>112</v>
      </c>
      <c r="AP37" s="4">
        <f t="shared" si="0"/>
        <v>-64</v>
      </c>
      <c r="AQ37" s="22"/>
      <c r="AR37" s="65">
        <f t="shared" si="5"/>
        <v>32</v>
      </c>
      <c r="AS37" s="38" t="str">
        <f t="shared" si="6"/>
        <v>Dragan Ivić</v>
      </c>
      <c r="AT37" s="38" t="str">
        <f t="shared" si="7"/>
        <v>Strug 2</v>
      </c>
      <c r="AU37" s="76">
        <v>16</v>
      </c>
      <c r="AV37" s="20"/>
      <c r="AW37" s="20"/>
      <c r="AX37" s="22"/>
      <c r="AY37" s="36">
        <f t="shared" si="8"/>
        <v>0</v>
      </c>
      <c r="AZ37" s="39"/>
      <c r="BA37" s="36">
        <v>0</v>
      </c>
      <c r="BB37" s="22"/>
      <c r="BC37" s="23"/>
    </row>
    <row r="38" spans="1:55" ht="15" thickBot="1" x14ac:dyDescent="0.35">
      <c r="A38" s="112">
        <v>33</v>
      </c>
      <c r="B38" s="108" t="s">
        <v>109</v>
      </c>
      <c r="C38" s="38" t="s">
        <v>108</v>
      </c>
      <c r="D38" s="38" t="s">
        <v>90</v>
      </c>
      <c r="E38" s="12">
        <v>0</v>
      </c>
      <c r="F38" s="48">
        <v>20</v>
      </c>
      <c r="G38" s="12">
        <f t="shared" si="15"/>
        <v>19.991999999999997</v>
      </c>
      <c r="H38" s="12">
        <f t="shared" si="2"/>
        <v>-8.0000000000026716E-3</v>
      </c>
      <c r="I38" s="18"/>
      <c r="J38" s="18"/>
      <c r="K38" s="41"/>
      <c r="L38" s="41"/>
      <c r="M38" s="15"/>
      <c r="N38" s="15"/>
      <c r="O38" s="15"/>
      <c r="P38" s="80" t="s">
        <v>21</v>
      </c>
      <c r="Q38" s="80" t="s">
        <v>21</v>
      </c>
      <c r="R38" s="41"/>
      <c r="S38" s="41"/>
      <c r="T38" s="15">
        <v>8</v>
      </c>
      <c r="U38" s="15">
        <v>8</v>
      </c>
      <c r="V38" s="15">
        <v>8</v>
      </c>
      <c r="W38" s="18">
        <v>8</v>
      </c>
      <c r="X38" s="18">
        <v>8</v>
      </c>
      <c r="Y38" s="41"/>
      <c r="Z38" s="41"/>
      <c r="AA38" s="15">
        <v>8</v>
      </c>
      <c r="AB38" s="15">
        <v>8</v>
      </c>
      <c r="AC38" s="15">
        <v>8</v>
      </c>
      <c r="AD38" s="18">
        <v>8</v>
      </c>
      <c r="AE38" s="18">
        <v>8</v>
      </c>
      <c r="AF38" s="41"/>
      <c r="AG38" s="41"/>
      <c r="AH38" s="15" t="s">
        <v>110</v>
      </c>
      <c r="AI38" s="15" t="s">
        <v>110</v>
      </c>
      <c r="AJ38" s="18" t="s">
        <v>110</v>
      </c>
      <c r="AK38" s="18" t="s">
        <v>110</v>
      </c>
      <c r="AL38" s="18" t="s">
        <v>110</v>
      </c>
      <c r="AM38" s="59"/>
      <c r="AN38" s="67">
        <f t="shared" ref="AN38:AN65" si="17">22*8</f>
        <v>176</v>
      </c>
      <c r="AO38" s="4">
        <f>SUM(I38:AM38)</f>
        <v>80</v>
      </c>
      <c r="AP38" s="4">
        <f t="shared" si="0"/>
        <v>-96</v>
      </c>
      <c r="AQ38" s="22"/>
      <c r="AR38" s="65">
        <f t="shared" si="5"/>
        <v>33</v>
      </c>
      <c r="AS38" s="38" t="str">
        <f t="shared" si="6"/>
        <v>Đorđe Stojković</v>
      </c>
      <c r="AT38" s="38" t="str">
        <f t="shared" si="7"/>
        <v>Strug 2</v>
      </c>
      <c r="AU38" s="76">
        <v>12</v>
      </c>
      <c r="AV38" s="20"/>
      <c r="AW38" s="20"/>
      <c r="AX38" s="22"/>
      <c r="AY38" s="36">
        <v>8</v>
      </c>
      <c r="AZ38" s="36" t="s">
        <v>50</v>
      </c>
      <c r="BA38" s="36">
        <v>3</v>
      </c>
      <c r="BB38" s="22" t="s">
        <v>111</v>
      </c>
      <c r="BC38" s="23"/>
    </row>
    <row r="39" spans="1:55" ht="15" thickBot="1" x14ac:dyDescent="0.35">
      <c r="A39" s="112">
        <v>34</v>
      </c>
      <c r="B39" s="108" t="s">
        <v>112</v>
      </c>
      <c r="C39" s="38" t="s">
        <v>113</v>
      </c>
      <c r="D39" s="38" t="s">
        <v>72</v>
      </c>
      <c r="E39" s="12">
        <v>0</v>
      </c>
      <c r="F39" s="48">
        <v>12</v>
      </c>
      <c r="G39" s="12">
        <f>7*1.666</f>
        <v>11.661999999999999</v>
      </c>
      <c r="H39" s="12">
        <f t="shared" si="2"/>
        <v>-0.33800000000000097</v>
      </c>
      <c r="I39" s="18"/>
      <c r="J39" s="18"/>
      <c r="K39" s="41"/>
      <c r="L39" s="41"/>
      <c r="M39" s="15"/>
      <c r="N39" s="15"/>
      <c r="O39" s="15"/>
      <c r="P39" s="80" t="s">
        <v>21</v>
      </c>
      <c r="Q39" s="80" t="s">
        <v>21</v>
      </c>
      <c r="R39" s="41"/>
      <c r="S39" s="41"/>
      <c r="T39" s="15">
        <v>8</v>
      </c>
      <c r="U39" s="15">
        <v>8</v>
      </c>
      <c r="V39" s="15">
        <v>8</v>
      </c>
      <c r="W39" s="18">
        <v>8</v>
      </c>
      <c r="X39" s="18">
        <v>8</v>
      </c>
      <c r="Y39" s="41"/>
      <c r="Z39" s="41"/>
      <c r="AA39" s="15">
        <v>8</v>
      </c>
      <c r="AB39" s="15" t="s">
        <v>114</v>
      </c>
      <c r="AC39" s="66">
        <v>8</v>
      </c>
      <c r="AD39" s="18">
        <v>8</v>
      </c>
      <c r="AE39" s="18">
        <v>8</v>
      </c>
      <c r="AF39" s="41"/>
      <c r="AG39" s="41"/>
      <c r="AH39" s="15">
        <v>8</v>
      </c>
      <c r="AI39" s="15">
        <v>8</v>
      </c>
      <c r="AJ39" s="18">
        <v>8</v>
      </c>
      <c r="AK39" s="118">
        <v>8</v>
      </c>
      <c r="AL39" s="118">
        <v>8</v>
      </c>
      <c r="AM39" s="59"/>
      <c r="AN39" s="67">
        <f t="shared" si="17"/>
        <v>176</v>
      </c>
      <c r="AO39" s="4">
        <f>SUM(I39:AM39)</f>
        <v>112</v>
      </c>
      <c r="AP39" s="4">
        <f t="shared" si="0"/>
        <v>-64</v>
      </c>
      <c r="AQ39" s="22"/>
      <c r="AR39" s="65">
        <f t="shared" si="5"/>
        <v>34</v>
      </c>
      <c r="AS39" s="38" t="str">
        <f t="shared" si="6"/>
        <v>Vlajković Stefan</v>
      </c>
      <c r="AT39" s="38" t="str">
        <f t="shared" si="7"/>
        <v>Rodicut - Livenje</v>
      </c>
      <c r="AU39" s="76">
        <v>21</v>
      </c>
      <c r="AV39" s="20"/>
      <c r="AW39" s="20"/>
      <c r="AX39" s="22"/>
      <c r="AY39" s="36">
        <v>0</v>
      </c>
      <c r="AZ39" s="36"/>
      <c r="BA39" s="36">
        <v>2</v>
      </c>
      <c r="BB39" s="22" t="s">
        <v>115</v>
      </c>
      <c r="BC39" s="23"/>
    </row>
    <row r="40" spans="1:55" ht="15" thickBot="1" x14ac:dyDescent="0.35">
      <c r="A40" s="113">
        <v>35</v>
      </c>
      <c r="B40" s="108" t="s">
        <v>116</v>
      </c>
      <c r="C40" s="38" t="s">
        <v>117</v>
      </c>
      <c r="D40" s="38" t="s">
        <v>118</v>
      </c>
      <c r="E40" s="12">
        <v>0</v>
      </c>
      <c r="F40" s="48">
        <v>14</v>
      </c>
      <c r="G40" s="12">
        <f>12*1.666</f>
        <v>19.991999999999997</v>
      </c>
      <c r="H40" s="12">
        <f t="shared" si="2"/>
        <v>5.9919999999999973</v>
      </c>
      <c r="I40" s="18"/>
      <c r="J40" s="18"/>
      <c r="K40" s="41"/>
      <c r="L40" s="41"/>
      <c r="M40" s="15"/>
      <c r="N40" s="15"/>
      <c r="O40" s="15"/>
      <c r="P40" s="80" t="s">
        <v>21</v>
      </c>
      <c r="Q40" s="80" t="s">
        <v>21</v>
      </c>
      <c r="R40" s="41"/>
      <c r="S40" s="41"/>
      <c r="T40" s="15">
        <v>8</v>
      </c>
      <c r="U40" s="15">
        <v>8</v>
      </c>
      <c r="V40" s="15">
        <v>8</v>
      </c>
      <c r="W40" s="18">
        <v>8</v>
      </c>
      <c r="X40" s="18">
        <v>8</v>
      </c>
      <c r="Y40" s="41"/>
      <c r="Z40" s="41"/>
      <c r="AA40" s="60">
        <v>8</v>
      </c>
      <c r="AB40" s="60">
        <v>8</v>
      </c>
      <c r="AC40" s="60">
        <v>8</v>
      </c>
      <c r="AD40" s="61">
        <v>8</v>
      </c>
      <c r="AE40" s="61">
        <v>8</v>
      </c>
      <c r="AF40" s="41"/>
      <c r="AG40" s="41"/>
      <c r="AH40" s="15">
        <v>8</v>
      </c>
      <c r="AI40" s="15">
        <v>8</v>
      </c>
      <c r="AJ40" s="18">
        <v>8</v>
      </c>
      <c r="AK40" s="118">
        <v>8</v>
      </c>
      <c r="AL40" s="118">
        <v>8</v>
      </c>
      <c r="AM40" s="59"/>
      <c r="AN40" s="67">
        <f t="shared" si="17"/>
        <v>176</v>
      </c>
      <c r="AO40" s="4">
        <f t="shared" si="4"/>
        <v>120</v>
      </c>
      <c r="AP40" s="4">
        <f t="shared" si="0"/>
        <v>-56</v>
      </c>
      <c r="AQ40" s="22"/>
      <c r="AR40" s="65">
        <f t="shared" si="5"/>
        <v>35</v>
      </c>
      <c r="AS40" s="38" t="str">
        <f t="shared" si="6"/>
        <v>Stefan Mitrović</v>
      </c>
      <c r="AT40" s="38" t="str">
        <f t="shared" si="7"/>
        <v>Matiranje</v>
      </c>
      <c r="AU40" s="76">
        <v>16</v>
      </c>
      <c r="AV40" s="20"/>
      <c r="AW40" s="20"/>
      <c r="AX40" s="22"/>
      <c r="AY40" s="36">
        <f t="shared" ref="AY40:AY46" si="18">COUNTIF(K40:AM40,"bo")</f>
        <v>0</v>
      </c>
      <c r="AZ40" s="36"/>
      <c r="BA40" s="36">
        <v>2</v>
      </c>
      <c r="BB40" s="22" t="s">
        <v>119</v>
      </c>
      <c r="BC40" s="23"/>
    </row>
    <row r="41" spans="1:55" ht="15" thickBot="1" x14ac:dyDescent="0.35">
      <c r="A41" s="112">
        <v>36</v>
      </c>
      <c r="B41" s="108" t="s">
        <v>120</v>
      </c>
      <c r="C41" s="38" t="s">
        <v>121</v>
      </c>
      <c r="D41" s="38" t="s">
        <v>122</v>
      </c>
      <c r="E41" s="12">
        <v>0</v>
      </c>
      <c r="F41" s="48">
        <v>22</v>
      </c>
      <c r="G41" s="12">
        <f t="shared" ref="G41:G65" si="19">12*1.666</f>
        <v>19.991999999999997</v>
      </c>
      <c r="H41" s="12">
        <f t="shared" si="2"/>
        <v>-2.0080000000000027</v>
      </c>
      <c r="I41" s="18"/>
      <c r="J41" s="18"/>
      <c r="K41" s="41"/>
      <c r="L41" s="41"/>
      <c r="M41" s="15"/>
      <c r="N41" s="15"/>
      <c r="O41" s="15"/>
      <c r="P41" s="80" t="s">
        <v>21</v>
      </c>
      <c r="Q41" s="80" t="s">
        <v>21</v>
      </c>
      <c r="R41" s="41"/>
      <c r="S41" s="41"/>
      <c r="T41" s="15">
        <v>8</v>
      </c>
      <c r="U41" s="15">
        <v>8</v>
      </c>
      <c r="V41" s="15">
        <v>8</v>
      </c>
      <c r="W41" s="18">
        <v>8</v>
      </c>
      <c r="X41" s="18">
        <v>8</v>
      </c>
      <c r="Y41" s="41"/>
      <c r="Z41" s="41"/>
      <c r="AA41" s="15">
        <v>8</v>
      </c>
      <c r="AB41" s="15">
        <v>8</v>
      </c>
      <c r="AC41" s="15">
        <v>7</v>
      </c>
      <c r="AD41" s="18">
        <v>8</v>
      </c>
      <c r="AE41" s="18">
        <v>8</v>
      </c>
      <c r="AF41" s="41">
        <v>1</v>
      </c>
      <c r="AG41" s="41"/>
      <c r="AH41" s="15">
        <v>8</v>
      </c>
      <c r="AI41" s="15">
        <v>8</v>
      </c>
      <c r="AJ41" s="18">
        <v>8</v>
      </c>
      <c r="AK41" s="118">
        <v>8</v>
      </c>
      <c r="AL41" s="118">
        <v>8</v>
      </c>
      <c r="AM41" s="59"/>
      <c r="AN41" s="67">
        <f t="shared" si="17"/>
        <v>176</v>
      </c>
      <c r="AO41" s="4">
        <f t="shared" si="4"/>
        <v>120</v>
      </c>
      <c r="AP41" s="4">
        <f t="shared" si="0"/>
        <v>-56</v>
      </c>
      <c r="AQ41" s="22"/>
      <c r="AR41" s="65">
        <f t="shared" si="5"/>
        <v>36</v>
      </c>
      <c r="AS41" s="38" t="str">
        <f t="shared" si="6"/>
        <v>Marijan Stanković</v>
      </c>
      <c r="AT41" s="38" t="str">
        <f t="shared" si="7"/>
        <v>Presa 2</v>
      </c>
      <c r="AU41" s="76">
        <v>23</v>
      </c>
      <c r="AV41" s="20"/>
      <c r="AW41" s="22"/>
      <c r="AX41" s="22"/>
      <c r="AY41" s="36">
        <f t="shared" si="18"/>
        <v>0</v>
      </c>
      <c r="AZ41" s="36"/>
      <c r="BA41" s="36">
        <f t="shared" ref="BA41:BA45" si="20">(COUNTIF(K41:AM41,"go")*8+COUNTIF(K41:AM41,"sd")*8)/8</f>
        <v>2</v>
      </c>
      <c r="BB41" s="22"/>
      <c r="BC41" s="23"/>
    </row>
    <row r="42" spans="1:55" ht="15" thickBot="1" x14ac:dyDescent="0.35">
      <c r="A42" s="113">
        <v>37</v>
      </c>
      <c r="B42" s="108" t="s">
        <v>123</v>
      </c>
      <c r="C42" s="38" t="s">
        <v>124</v>
      </c>
      <c r="D42" s="38" t="s">
        <v>125</v>
      </c>
      <c r="E42" s="12">
        <v>0</v>
      </c>
      <c r="F42" s="48">
        <v>15</v>
      </c>
      <c r="G42" s="12">
        <f t="shared" si="19"/>
        <v>19.991999999999997</v>
      </c>
      <c r="H42" s="12">
        <f t="shared" si="2"/>
        <v>4.9919999999999973</v>
      </c>
      <c r="I42" s="18"/>
      <c r="J42" s="18"/>
      <c r="K42" s="41"/>
      <c r="L42" s="41"/>
      <c r="M42" s="15"/>
      <c r="N42" s="15"/>
      <c r="O42" s="15"/>
      <c r="P42" s="80" t="s">
        <v>21</v>
      </c>
      <c r="Q42" s="80" t="s">
        <v>21</v>
      </c>
      <c r="R42" s="41"/>
      <c r="S42" s="41"/>
      <c r="T42" s="15">
        <v>8</v>
      </c>
      <c r="U42" s="15">
        <v>8</v>
      </c>
      <c r="V42" s="15">
        <v>8</v>
      </c>
      <c r="W42" s="18">
        <v>8</v>
      </c>
      <c r="X42" s="18">
        <v>8</v>
      </c>
      <c r="Y42" s="41"/>
      <c r="Z42" s="41"/>
      <c r="AA42" s="15">
        <v>8</v>
      </c>
      <c r="AB42" s="15" t="s">
        <v>31</v>
      </c>
      <c r="AC42" s="15">
        <v>8</v>
      </c>
      <c r="AD42" s="18">
        <v>8</v>
      </c>
      <c r="AE42" s="18">
        <v>8</v>
      </c>
      <c r="AF42" s="41"/>
      <c r="AG42" s="41"/>
      <c r="AH42" s="15">
        <v>8</v>
      </c>
      <c r="AI42" s="15">
        <v>8</v>
      </c>
      <c r="AJ42" s="18">
        <v>8</v>
      </c>
      <c r="AK42" s="118">
        <v>8</v>
      </c>
      <c r="AL42" s="118">
        <v>8</v>
      </c>
      <c r="AM42" s="59"/>
      <c r="AN42" s="67">
        <f t="shared" si="17"/>
        <v>176</v>
      </c>
      <c r="AO42" s="4">
        <f t="shared" si="4"/>
        <v>112</v>
      </c>
      <c r="AP42" s="4">
        <f t="shared" si="0"/>
        <v>-64</v>
      </c>
      <c r="AQ42" s="22"/>
      <c r="AR42" s="65">
        <f t="shared" si="5"/>
        <v>37</v>
      </c>
      <c r="AS42" s="38" t="str">
        <f t="shared" si="6"/>
        <v>Biljana Atanacković</v>
      </c>
      <c r="AT42" s="38" t="str">
        <f t="shared" si="7"/>
        <v>Presa 2 - pakovanje</v>
      </c>
      <c r="AU42" s="76">
        <v>23</v>
      </c>
      <c r="AV42" s="20"/>
      <c r="AW42" s="22"/>
      <c r="AX42" s="22"/>
      <c r="AY42" s="36">
        <f t="shared" si="18"/>
        <v>0</v>
      </c>
      <c r="AZ42" s="36"/>
      <c r="BA42" s="36">
        <f t="shared" si="20"/>
        <v>2</v>
      </c>
      <c r="BB42" s="22"/>
      <c r="BC42" s="23"/>
    </row>
    <row r="43" spans="1:55" ht="15" thickBot="1" x14ac:dyDescent="0.35">
      <c r="A43" s="112">
        <v>38</v>
      </c>
      <c r="B43" s="108" t="s">
        <v>126</v>
      </c>
      <c r="C43" s="38" t="s">
        <v>124</v>
      </c>
      <c r="D43" s="38" t="s">
        <v>122</v>
      </c>
      <c r="E43" s="12">
        <v>0</v>
      </c>
      <c r="F43" s="48">
        <v>12</v>
      </c>
      <c r="G43" s="12">
        <f>7*1.666</f>
        <v>11.661999999999999</v>
      </c>
      <c r="H43" s="12">
        <f t="shared" si="2"/>
        <v>-0.33800000000000097</v>
      </c>
      <c r="I43" s="18"/>
      <c r="J43" s="18"/>
      <c r="K43" s="41"/>
      <c r="L43" s="41"/>
      <c r="M43" s="15"/>
      <c r="N43" s="15"/>
      <c r="O43" s="15"/>
      <c r="P43" s="80" t="s">
        <v>21</v>
      </c>
      <c r="Q43" s="80" t="s">
        <v>21</v>
      </c>
      <c r="R43" s="41"/>
      <c r="S43" s="41"/>
      <c r="T43" s="15">
        <v>8</v>
      </c>
      <c r="U43" s="15">
        <v>8</v>
      </c>
      <c r="V43" s="15" t="s">
        <v>110</v>
      </c>
      <c r="W43" s="18" t="s">
        <v>110</v>
      </c>
      <c r="X43" s="18" t="s">
        <v>110</v>
      </c>
      <c r="Y43" s="41"/>
      <c r="Z43" s="41"/>
      <c r="AA43" s="15" t="s">
        <v>110</v>
      </c>
      <c r="AB43" s="15">
        <v>8</v>
      </c>
      <c r="AC43" s="15">
        <v>8</v>
      </c>
      <c r="AD43" s="18">
        <v>8</v>
      </c>
      <c r="AE43" s="18">
        <v>8</v>
      </c>
      <c r="AF43" s="41"/>
      <c r="AG43" s="41"/>
      <c r="AH43" s="15">
        <v>8</v>
      </c>
      <c r="AI43" s="15">
        <v>8</v>
      </c>
      <c r="AJ43" s="18">
        <v>8</v>
      </c>
      <c r="AK43" s="118">
        <v>8</v>
      </c>
      <c r="AL43" s="118">
        <v>8</v>
      </c>
      <c r="AM43" s="59"/>
      <c r="AN43" s="67">
        <f t="shared" si="17"/>
        <v>176</v>
      </c>
      <c r="AO43" s="4">
        <f t="shared" si="4"/>
        <v>88</v>
      </c>
      <c r="AP43" s="4">
        <f t="shared" si="0"/>
        <v>-88</v>
      </c>
      <c r="AQ43" s="22"/>
      <c r="AR43" s="65">
        <f t="shared" si="5"/>
        <v>38</v>
      </c>
      <c r="AS43" s="38" t="str">
        <f t="shared" si="6"/>
        <v>Stefan Nikolic</v>
      </c>
      <c r="AT43" s="38" t="str">
        <f t="shared" si="7"/>
        <v>Presa 2 - pakovanje</v>
      </c>
      <c r="AU43" s="76">
        <v>23</v>
      </c>
      <c r="AV43" s="20"/>
      <c r="AW43" s="22"/>
      <c r="AX43" s="22"/>
      <c r="AY43" s="36">
        <f t="shared" si="18"/>
        <v>4</v>
      </c>
      <c r="AZ43" s="36"/>
      <c r="BA43" s="36">
        <f t="shared" si="20"/>
        <v>2</v>
      </c>
      <c r="BB43" s="22"/>
      <c r="BC43" s="23"/>
    </row>
    <row r="44" spans="1:55" ht="15" thickBot="1" x14ac:dyDescent="0.35">
      <c r="A44" s="113">
        <v>39</v>
      </c>
      <c r="B44" s="108" t="s">
        <v>127</v>
      </c>
      <c r="C44" s="38" t="s">
        <v>128</v>
      </c>
      <c r="D44" s="38" t="s">
        <v>129</v>
      </c>
      <c r="E44" s="12">
        <v>0</v>
      </c>
      <c r="F44" s="48">
        <v>11</v>
      </c>
      <c r="G44" s="12">
        <f>12*1.666</f>
        <v>19.991999999999997</v>
      </c>
      <c r="H44" s="12">
        <f t="shared" si="2"/>
        <v>8.9919999999999973</v>
      </c>
      <c r="I44" s="18"/>
      <c r="J44" s="18"/>
      <c r="K44" s="41"/>
      <c r="L44" s="41"/>
      <c r="M44" s="15"/>
      <c r="N44" s="15"/>
      <c r="O44" s="15"/>
      <c r="P44" s="80" t="s">
        <v>21</v>
      </c>
      <c r="Q44" s="80" t="s">
        <v>21</v>
      </c>
      <c r="R44" s="41"/>
      <c r="S44" s="41"/>
      <c r="T44" s="15">
        <v>8</v>
      </c>
      <c r="U44" s="15">
        <v>8</v>
      </c>
      <c r="V44" s="15">
        <v>5</v>
      </c>
      <c r="W44" s="18">
        <v>8</v>
      </c>
      <c r="X44" s="18">
        <v>10</v>
      </c>
      <c r="Y44" s="41"/>
      <c r="Z44" s="41"/>
      <c r="AA44" s="15">
        <v>8</v>
      </c>
      <c r="AB44" s="15">
        <v>8</v>
      </c>
      <c r="AC44" s="15">
        <v>8</v>
      </c>
      <c r="AD44" s="18">
        <v>8</v>
      </c>
      <c r="AE44" s="18">
        <v>8</v>
      </c>
      <c r="AF44" s="41"/>
      <c r="AG44" s="41"/>
      <c r="AH44" s="15">
        <v>8</v>
      </c>
      <c r="AI44" s="15">
        <v>8</v>
      </c>
      <c r="AJ44" s="117">
        <v>8</v>
      </c>
      <c r="AK44" s="118">
        <v>8</v>
      </c>
      <c r="AL44" s="118">
        <v>8</v>
      </c>
      <c r="AM44" s="59">
        <v>8</v>
      </c>
      <c r="AN44" s="67">
        <f t="shared" si="17"/>
        <v>176</v>
      </c>
      <c r="AO44" s="4">
        <f t="shared" si="4"/>
        <v>127</v>
      </c>
      <c r="AP44" s="4">
        <f t="shared" si="0"/>
        <v>-49</v>
      </c>
      <c r="AQ44" s="22"/>
      <c r="AR44" s="65">
        <f t="shared" si="5"/>
        <v>39</v>
      </c>
      <c r="AS44" s="38" t="str">
        <f t="shared" si="6"/>
        <v>Milan Savić</v>
      </c>
      <c r="AT44" s="38" t="str">
        <f t="shared" si="7"/>
        <v>Priprema mrežica</v>
      </c>
      <c r="AU44" s="76">
        <v>22</v>
      </c>
      <c r="AV44" s="20"/>
      <c r="AW44" s="22"/>
      <c r="AX44" s="22"/>
      <c r="AY44" s="36">
        <f t="shared" si="18"/>
        <v>0</v>
      </c>
      <c r="AZ44" s="36"/>
      <c r="BA44" s="36">
        <f t="shared" si="20"/>
        <v>2</v>
      </c>
      <c r="BB44" s="22" t="s">
        <v>130</v>
      </c>
      <c r="BC44" s="23"/>
    </row>
    <row r="45" spans="1:55" ht="15" thickBot="1" x14ac:dyDescent="0.35">
      <c r="A45" s="112">
        <v>40</v>
      </c>
      <c r="B45" s="108" t="s">
        <v>131</v>
      </c>
      <c r="C45" s="38" t="s">
        <v>128</v>
      </c>
      <c r="D45" s="38" t="s">
        <v>129</v>
      </c>
      <c r="E45" s="12">
        <v>0</v>
      </c>
      <c r="F45" s="48">
        <v>6</v>
      </c>
      <c r="G45" s="12">
        <f>12*1.666</f>
        <v>19.991999999999997</v>
      </c>
      <c r="H45" s="12">
        <f t="shared" si="2"/>
        <v>13.991999999999997</v>
      </c>
      <c r="I45" s="18"/>
      <c r="J45" s="18"/>
      <c r="K45" s="41"/>
      <c r="L45" s="41"/>
      <c r="M45" s="15"/>
      <c r="N45" s="15"/>
      <c r="O45" s="15"/>
      <c r="P45" s="80" t="s">
        <v>21</v>
      </c>
      <c r="Q45" s="80" t="s">
        <v>21</v>
      </c>
      <c r="R45" s="41"/>
      <c r="S45" s="41"/>
      <c r="T45" s="15">
        <v>8</v>
      </c>
      <c r="U45" s="15">
        <v>8</v>
      </c>
      <c r="V45" s="15">
        <v>8</v>
      </c>
      <c r="W45" s="18">
        <v>8</v>
      </c>
      <c r="X45" s="18">
        <v>8</v>
      </c>
      <c r="Y45" s="41"/>
      <c r="Z45" s="41"/>
      <c r="AA45" s="15">
        <v>8</v>
      </c>
      <c r="AB45" s="15">
        <v>8</v>
      </c>
      <c r="AC45" s="15">
        <v>8</v>
      </c>
      <c r="AD45" s="18">
        <v>8</v>
      </c>
      <c r="AE45" s="18">
        <v>8</v>
      </c>
      <c r="AF45" s="41"/>
      <c r="AG45" s="41"/>
      <c r="AH45" s="15">
        <v>8</v>
      </c>
      <c r="AI45" s="15">
        <v>8</v>
      </c>
      <c r="AJ45" s="18">
        <v>8</v>
      </c>
      <c r="AK45" s="118">
        <v>8</v>
      </c>
      <c r="AL45" s="118">
        <v>8</v>
      </c>
      <c r="AM45" s="59"/>
      <c r="AN45" s="67">
        <f t="shared" si="17"/>
        <v>176</v>
      </c>
      <c r="AO45" s="4">
        <f t="shared" si="4"/>
        <v>120</v>
      </c>
      <c r="AP45" s="4">
        <f t="shared" si="0"/>
        <v>-56</v>
      </c>
      <c r="AQ45" s="22"/>
      <c r="AR45" s="65">
        <f t="shared" ref="AR45:AS47" si="21">A45</f>
        <v>40</v>
      </c>
      <c r="AS45" s="38" t="str">
        <f t="shared" si="21"/>
        <v>Jovo Ivaneža</v>
      </c>
      <c r="AT45" s="38"/>
      <c r="AU45" s="76">
        <v>23</v>
      </c>
      <c r="AV45" s="22"/>
      <c r="AW45" s="22"/>
      <c r="AX45" s="22"/>
      <c r="AY45" s="36">
        <f t="shared" si="18"/>
        <v>0</v>
      </c>
      <c r="AZ45" s="36"/>
      <c r="BA45" s="36">
        <f t="shared" si="20"/>
        <v>2</v>
      </c>
      <c r="BB45" s="22"/>
      <c r="BC45" s="23"/>
    </row>
    <row r="46" spans="1:55" ht="15" thickBot="1" x14ac:dyDescent="0.35">
      <c r="A46" s="113">
        <v>41</v>
      </c>
      <c r="B46" s="108" t="s">
        <v>132</v>
      </c>
      <c r="C46" s="22" t="s">
        <v>133</v>
      </c>
      <c r="D46" s="38" t="s">
        <v>134</v>
      </c>
      <c r="E46" s="12">
        <v>0</v>
      </c>
      <c r="F46" s="48">
        <v>11</v>
      </c>
      <c r="G46" s="12">
        <f>7*1.666</f>
        <v>11.661999999999999</v>
      </c>
      <c r="H46" s="12">
        <f t="shared" si="2"/>
        <v>0.66199999999999903</v>
      </c>
      <c r="I46" s="18"/>
      <c r="J46" s="18"/>
      <c r="K46" s="41"/>
      <c r="L46" s="41"/>
      <c r="M46" s="15"/>
      <c r="N46" s="15"/>
      <c r="O46" s="15"/>
      <c r="P46" s="80" t="s">
        <v>21</v>
      </c>
      <c r="Q46" s="80" t="s">
        <v>21</v>
      </c>
      <c r="R46" s="41"/>
      <c r="S46" s="41"/>
      <c r="T46" s="15">
        <v>8</v>
      </c>
      <c r="U46" s="15">
        <v>8</v>
      </c>
      <c r="V46" s="15">
        <v>8</v>
      </c>
      <c r="W46" s="18">
        <v>8</v>
      </c>
      <c r="X46" s="18">
        <v>8</v>
      </c>
      <c r="Y46" s="41"/>
      <c r="Z46" s="41"/>
      <c r="AA46" s="15">
        <v>8</v>
      </c>
      <c r="AB46" s="15">
        <v>8</v>
      </c>
      <c r="AC46" s="15">
        <v>8</v>
      </c>
      <c r="AD46" s="18">
        <v>8</v>
      </c>
      <c r="AE46" s="18">
        <v>8</v>
      </c>
      <c r="AF46" s="41"/>
      <c r="AG46" s="41"/>
      <c r="AH46" s="15">
        <v>8</v>
      </c>
      <c r="AI46" s="15">
        <v>8</v>
      </c>
      <c r="AJ46" s="18">
        <v>8</v>
      </c>
      <c r="AK46" s="118">
        <v>8</v>
      </c>
      <c r="AL46" s="118">
        <v>8</v>
      </c>
      <c r="AM46" s="59"/>
      <c r="AN46" s="67">
        <f t="shared" si="17"/>
        <v>176</v>
      </c>
      <c r="AO46" s="4">
        <f t="shared" si="4"/>
        <v>120</v>
      </c>
      <c r="AP46" s="4">
        <f t="shared" si="0"/>
        <v>-56</v>
      </c>
      <c r="AQ46" s="22"/>
      <c r="AR46" s="65">
        <f t="shared" si="21"/>
        <v>41</v>
      </c>
      <c r="AS46" s="38" t="str">
        <f t="shared" si="21"/>
        <v>Lazar Petrović</v>
      </c>
      <c r="AT46" s="38" t="str">
        <f>C46</f>
        <v xml:space="preserve">Rodicut - Livenje L3 </v>
      </c>
      <c r="AU46" s="76">
        <v>23</v>
      </c>
      <c r="AV46" s="22"/>
      <c r="AW46" s="22"/>
      <c r="AX46" s="22"/>
      <c r="AY46" s="36">
        <f t="shared" si="18"/>
        <v>0</v>
      </c>
      <c r="AZ46" s="36"/>
      <c r="BA46" s="36">
        <v>0</v>
      </c>
      <c r="BB46" s="22"/>
      <c r="BC46" s="23"/>
    </row>
    <row r="47" spans="1:55" ht="15" thickBot="1" x14ac:dyDescent="0.35">
      <c r="A47" s="112">
        <v>42</v>
      </c>
      <c r="B47" s="108" t="s">
        <v>135</v>
      </c>
      <c r="C47" s="22" t="s">
        <v>136</v>
      </c>
      <c r="D47" s="38" t="s">
        <v>134</v>
      </c>
      <c r="E47" s="12">
        <v>0</v>
      </c>
      <c r="F47" s="48">
        <v>11</v>
      </c>
      <c r="G47" s="12">
        <f>10*1.666</f>
        <v>16.66</v>
      </c>
      <c r="H47" s="12">
        <f t="shared" si="2"/>
        <v>5.66</v>
      </c>
      <c r="I47" s="18"/>
      <c r="J47" s="18"/>
      <c r="K47" s="41"/>
      <c r="L47" s="41"/>
      <c r="M47" s="15"/>
      <c r="N47" s="15"/>
      <c r="O47" s="15"/>
      <c r="P47" s="80" t="s">
        <v>21</v>
      </c>
      <c r="Q47" s="80" t="s">
        <v>21</v>
      </c>
      <c r="R47" s="41"/>
      <c r="S47" s="41"/>
      <c r="T47" s="15">
        <v>8</v>
      </c>
      <c r="U47" s="15">
        <v>8</v>
      </c>
      <c r="V47" s="15">
        <v>8</v>
      </c>
      <c r="W47" s="18">
        <v>8</v>
      </c>
      <c r="X47" s="18">
        <v>8</v>
      </c>
      <c r="Y47" s="41"/>
      <c r="Z47" s="41"/>
      <c r="AA47" s="15">
        <v>8</v>
      </c>
      <c r="AB47" s="15">
        <v>8</v>
      </c>
      <c r="AC47" s="15">
        <v>8</v>
      </c>
      <c r="AD47" s="18">
        <v>8</v>
      </c>
      <c r="AE47" s="18">
        <v>8</v>
      </c>
      <c r="AF47" s="41"/>
      <c r="AG47" s="41"/>
      <c r="AH47" s="15">
        <v>8</v>
      </c>
      <c r="AI47" s="15">
        <v>8</v>
      </c>
      <c r="AJ47" s="18">
        <v>8</v>
      </c>
      <c r="AK47" s="118">
        <v>8</v>
      </c>
      <c r="AL47" s="118">
        <v>8</v>
      </c>
      <c r="AM47" s="59">
        <v>8</v>
      </c>
      <c r="AN47" s="67">
        <f t="shared" si="17"/>
        <v>176</v>
      </c>
      <c r="AO47" s="4">
        <f t="shared" si="4"/>
        <v>128</v>
      </c>
      <c r="AP47" s="4">
        <f t="shared" si="0"/>
        <v>-48</v>
      </c>
      <c r="AQ47" s="22"/>
      <c r="AR47" s="65">
        <f t="shared" si="21"/>
        <v>42</v>
      </c>
      <c r="AS47" s="38" t="str">
        <f t="shared" si="21"/>
        <v>Nenad Pantić</v>
      </c>
      <c r="AT47" s="38" t="str">
        <f>C47</f>
        <v>Compact - Demontaža</v>
      </c>
      <c r="AU47" s="76">
        <v>14</v>
      </c>
      <c r="AV47" s="20"/>
      <c r="AW47" s="20"/>
      <c r="AX47" s="22"/>
      <c r="AY47" s="36">
        <v>4</v>
      </c>
      <c r="AZ47" s="36" t="s">
        <v>137</v>
      </c>
      <c r="BA47" s="36">
        <f>(COUNTIF(K47:AM47,"go")*8+COUNTIF(K47:AM47,"sd")*8)/8</f>
        <v>2</v>
      </c>
      <c r="BB47" s="22"/>
      <c r="BC47" s="23"/>
    </row>
    <row r="48" spans="1:55" ht="15" thickBot="1" x14ac:dyDescent="0.35">
      <c r="A48" s="113">
        <v>43</v>
      </c>
      <c r="B48" s="108" t="s">
        <v>138</v>
      </c>
      <c r="C48" s="22" t="s">
        <v>136</v>
      </c>
      <c r="D48" s="38" t="s">
        <v>72</v>
      </c>
      <c r="E48" s="12">
        <v>0</v>
      </c>
      <c r="F48" s="48">
        <v>12</v>
      </c>
      <c r="G48" s="12">
        <f>6*1.666</f>
        <v>9.9959999999999987</v>
      </c>
      <c r="H48" s="12">
        <f t="shared" si="2"/>
        <v>-2.0040000000000013</v>
      </c>
      <c r="I48" s="18"/>
      <c r="J48" s="18"/>
      <c r="K48" s="41"/>
      <c r="L48" s="41"/>
      <c r="M48" s="15"/>
      <c r="N48" s="15"/>
      <c r="O48" s="15"/>
      <c r="P48" s="80" t="s">
        <v>21</v>
      </c>
      <c r="Q48" s="80" t="s">
        <v>21</v>
      </c>
      <c r="R48" s="41"/>
      <c r="S48" s="41"/>
      <c r="T48" s="15">
        <v>8</v>
      </c>
      <c r="U48" s="15">
        <v>8</v>
      </c>
      <c r="V48" s="15">
        <v>8</v>
      </c>
      <c r="W48" s="18">
        <v>8</v>
      </c>
      <c r="X48" s="18">
        <v>8</v>
      </c>
      <c r="Y48" s="41"/>
      <c r="Z48" s="41"/>
      <c r="AA48" s="15">
        <v>8</v>
      </c>
      <c r="AB48" s="15">
        <v>8</v>
      </c>
      <c r="AC48" s="15">
        <v>8</v>
      </c>
      <c r="AD48" s="18">
        <v>8</v>
      </c>
      <c r="AE48" s="18">
        <v>8</v>
      </c>
      <c r="AF48" s="41"/>
      <c r="AG48" s="41"/>
      <c r="AH48" s="15">
        <v>8</v>
      </c>
      <c r="AI48" s="15">
        <v>8</v>
      </c>
      <c r="AJ48" s="18">
        <v>8</v>
      </c>
      <c r="AK48" s="118">
        <v>8</v>
      </c>
      <c r="AL48" s="118">
        <v>8</v>
      </c>
      <c r="AM48" s="59"/>
      <c r="AN48" s="67">
        <f t="shared" si="17"/>
        <v>176</v>
      </c>
      <c r="AO48" s="4">
        <f t="shared" si="4"/>
        <v>120</v>
      </c>
      <c r="AP48" s="4">
        <f t="shared" si="0"/>
        <v>-56</v>
      </c>
      <c r="AQ48" s="22"/>
      <c r="AR48" s="68">
        <v>53</v>
      </c>
      <c r="AS48" s="69" t="s">
        <v>138</v>
      </c>
      <c r="AT48" s="22"/>
      <c r="AU48" s="70">
        <v>14</v>
      </c>
      <c r="AV48" s="20"/>
      <c r="AW48" s="20"/>
      <c r="AX48" s="22"/>
      <c r="AY48" s="20">
        <v>6</v>
      </c>
      <c r="AZ48" s="20" t="s">
        <v>139</v>
      </c>
      <c r="BA48" s="22"/>
      <c r="BB48" s="22"/>
      <c r="BC48" s="23"/>
    </row>
    <row r="49" spans="1:55" ht="15" thickBot="1" x14ac:dyDescent="0.35">
      <c r="A49" s="112">
        <v>44</v>
      </c>
      <c r="B49" s="108" t="s">
        <v>140</v>
      </c>
      <c r="C49" s="38" t="s">
        <v>69</v>
      </c>
      <c r="D49" s="38" t="s">
        <v>72</v>
      </c>
      <c r="E49" s="12">
        <v>0</v>
      </c>
      <c r="F49" s="48">
        <v>0</v>
      </c>
      <c r="G49" s="12">
        <f>2*1.666</f>
        <v>3.3319999999999999</v>
      </c>
      <c r="H49" s="12">
        <f t="shared" si="2"/>
        <v>3.3319999999999999</v>
      </c>
      <c r="I49" s="18"/>
      <c r="J49" s="18"/>
      <c r="K49" s="41"/>
      <c r="L49" s="41"/>
      <c r="M49" s="15"/>
      <c r="N49" s="15"/>
      <c r="O49" s="15"/>
      <c r="P49" s="80" t="s">
        <v>21</v>
      </c>
      <c r="Q49" s="80" t="s">
        <v>21</v>
      </c>
      <c r="R49" s="41"/>
      <c r="S49" s="41"/>
      <c r="T49" s="15" t="s">
        <v>110</v>
      </c>
      <c r="U49" s="15" t="s">
        <v>110</v>
      </c>
      <c r="V49" s="15" t="s">
        <v>110</v>
      </c>
      <c r="W49" s="15" t="s">
        <v>110</v>
      </c>
      <c r="X49" s="18">
        <v>8</v>
      </c>
      <c r="Y49" s="41"/>
      <c r="Z49" s="41"/>
      <c r="AA49" s="15">
        <v>8</v>
      </c>
      <c r="AB49" s="15">
        <v>8</v>
      </c>
      <c r="AC49" s="15">
        <v>8</v>
      </c>
      <c r="AD49" s="18">
        <v>8</v>
      </c>
      <c r="AE49" s="18">
        <v>8</v>
      </c>
      <c r="AF49" s="41"/>
      <c r="AG49" s="41"/>
      <c r="AH49" s="114">
        <v>8</v>
      </c>
      <c r="AI49" s="60">
        <v>8</v>
      </c>
      <c r="AJ49" s="61">
        <v>8</v>
      </c>
      <c r="AK49" s="119">
        <v>8</v>
      </c>
      <c r="AL49" s="119">
        <v>8</v>
      </c>
      <c r="AM49" s="15"/>
      <c r="AN49" s="67">
        <f t="shared" si="17"/>
        <v>176</v>
      </c>
      <c r="AO49" s="4">
        <f>SUM(I49:AM49)</f>
        <v>88</v>
      </c>
      <c r="AP49" s="4">
        <f t="shared" si="0"/>
        <v>-88</v>
      </c>
      <c r="AQ49" s="22"/>
      <c r="AR49" s="68">
        <v>56</v>
      </c>
      <c r="AS49" s="69" t="s">
        <v>140</v>
      </c>
      <c r="AT49" s="22"/>
      <c r="AU49" s="70">
        <v>10</v>
      </c>
      <c r="AV49" s="20"/>
      <c r="AW49" s="20"/>
      <c r="AX49" s="22"/>
      <c r="AY49" s="22"/>
      <c r="AZ49" s="22"/>
      <c r="BA49" s="22"/>
      <c r="BB49" s="22"/>
      <c r="BC49" s="23"/>
    </row>
    <row r="50" spans="1:55" ht="15" thickBot="1" x14ac:dyDescent="0.35">
      <c r="A50" s="113">
        <v>45</v>
      </c>
      <c r="B50" s="110" t="s">
        <v>141</v>
      </c>
      <c r="C50" s="62" t="s">
        <v>69</v>
      </c>
      <c r="D50" s="62" t="s">
        <v>142</v>
      </c>
      <c r="E50" s="66">
        <v>0</v>
      </c>
      <c r="F50" s="63">
        <v>1</v>
      </c>
      <c r="G50" s="12">
        <f>2*1.666</f>
        <v>3.3319999999999999</v>
      </c>
      <c r="H50" s="12">
        <f t="shared" si="2"/>
        <v>2.3319999999999999</v>
      </c>
      <c r="I50" s="18"/>
      <c r="J50" s="18"/>
      <c r="K50" s="41"/>
      <c r="L50" s="41"/>
      <c r="M50" s="15"/>
      <c r="N50" s="15"/>
      <c r="O50" s="15"/>
      <c r="P50" s="80" t="s">
        <v>21</v>
      </c>
      <c r="Q50" s="80" t="s">
        <v>21</v>
      </c>
      <c r="R50" s="41"/>
      <c r="S50" s="41"/>
      <c r="T50" s="15" t="s">
        <v>110</v>
      </c>
      <c r="U50" s="15">
        <v>8</v>
      </c>
      <c r="V50" s="15">
        <v>8</v>
      </c>
      <c r="W50" s="18">
        <v>8</v>
      </c>
      <c r="X50" s="18">
        <v>8</v>
      </c>
      <c r="Y50" s="41"/>
      <c r="Z50" s="41"/>
      <c r="AA50" s="15" t="s">
        <v>63</v>
      </c>
      <c r="AB50" s="15" t="s">
        <v>63</v>
      </c>
      <c r="AC50" s="15" t="s">
        <v>63</v>
      </c>
      <c r="AD50" s="18" t="s">
        <v>63</v>
      </c>
      <c r="AE50" s="18" t="s">
        <v>63</v>
      </c>
      <c r="AF50" s="41"/>
      <c r="AG50" s="41"/>
      <c r="AH50" s="15" t="s">
        <v>63</v>
      </c>
      <c r="AI50" s="15" t="s">
        <v>63</v>
      </c>
      <c r="AJ50" s="18" t="s">
        <v>63</v>
      </c>
      <c r="AK50" s="118" t="s">
        <v>63</v>
      </c>
      <c r="AL50" s="118" t="s">
        <v>63</v>
      </c>
      <c r="AM50" s="59"/>
      <c r="AN50" s="67">
        <f t="shared" si="17"/>
        <v>176</v>
      </c>
      <c r="AO50" s="4">
        <f t="shared" si="4"/>
        <v>32</v>
      </c>
      <c r="AP50" s="4">
        <f t="shared" si="0"/>
        <v>-144</v>
      </c>
      <c r="AQ50" s="22"/>
      <c r="AR50" s="68">
        <v>57</v>
      </c>
      <c r="AS50" s="69" t="s">
        <v>141</v>
      </c>
      <c r="AT50" s="22"/>
      <c r="AU50" s="70">
        <v>10</v>
      </c>
      <c r="AV50" s="20"/>
      <c r="AW50" s="20"/>
      <c r="AX50" s="22"/>
      <c r="AY50" s="22"/>
      <c r="AZ50" s="22"/>
      <c r="BA50" s="22"/>
      <c r="BB50" s="22"/>
      <c r="BC50" s="23"/>
    </row>
    <row r="51" spans="1:55" ht="15" thickBot="1" x14ac:dyDescent="0.35">
      <c r="A51" s="112">
        <v>46</v>
      </c>
      <c r="B51" s="110" t="s">
        <v>143</v>
      </c>
      <c r="C51" s="62" t="s">
        <v>69</v>
      </c>
      <c r="D51" s="62" t="s">
        <v>142</v>
      </c>
      <c r="E51" s="66">
        <v>0</v>
      </c>
      <c r="F51" s="63">
        <v>2</v>
      </c>
      <c r="G51" s="12">
        <f>2*1.666</f>
        <v>3.3319999999999999</v>
      </c>
      <c r="H51" s="12">
        <f t="shared" si="2"/>
        <v>1.3319999999999999</v>
      </c>
      <c r="I51" s="18"/>
      <c r="J51" s="18"/>
      <c r="K51" s="41"/>
      <c r="L51" s="41"/>
      <c r="M51" s="15"/>
      <c r="N51" s="15"/>
      <c r="O51" s="15"/>
      <c r="P51" s="80" t="s">
        <v>21</v>
      </c>
      <c r="Q51" s="80" t="s">
        <v>21</v>
      </c>
      <c r="R51" s="41"/>
      <c r="S51" s="41"/>
      <c r="T51" s="15" t="s">
        <v>110</v>
      </c>
      <c r="U51" s="15" t="s">
        <v>110</v>
      </c>
      <c r="V51" s="15" t="s">
        <v>110</v>
      </c>
      <c r="W51" s="18" t="s">
        <v>110</v>
      </c>
      <c r="X51" s="18">
        <v>8</v>
      </c>
      <c r="Y51" s="41"/>
      <c r="Z51" s="41"/>
      <c r="AA51" s="15">
        <v>8</v>
      </c>
      <c r="AB51" s="15">
        <v>3</v>
      </c>
      <c r="AC51" s="15" t="s">
        <v>63</v>
      </c>
      <c r="AD51" s="18" t="s">
        <v>63</v>
      </c>
      <c r="AE51" s="18" t="s">
        <v>63</v>
      </c>
      <c r="AF51" s="41"/>
      <c r="AG51" s="41"/>
      <c r="AH51" s="15" t="s">
        <v>63</v>
      </c>
      <c r="AI51" s="15" t="s">
        <v>63</v>
      </c>
      <c r="AJ51" s="18" t="s">
        <v>63</v>
      </c>
      <c r="AK51" s="118" t="s">
        <v>63</v>
      </c>
      <c r="AL51" s="118" t="s">
        <v>63</v>
      </c>
      <c r="AM51" s="59"/>
      <c r="AN51" s="67">
        <f t="shared" si="17"/>
        <v>176</v>
      </c>
      <c r="AO51" s="4">
        <f t="shared" si="4"/>
        <v>19</v>
      </c>
      <c r="AP51" s="4">
        <f t="shared" si="0"/>
        <v>-157</v>
      </c>
      <c r="AQ51" s="22"/>
      <c r="AR51" s="68">
        <v>58</v>
      </c>
      <c r="AS51" s="69" t="s">
        <v>116</v>
      </c>
      <c r="AT51" s="22"/>
      <c r="AU51" s="70">
        <v>9</v>
      </c>
      <c r="AV51" s="22"/>
      <c r="AW51" s="20"/>
      <c r="AX51" s="22"/>
      <c r="AY51" s="22"/>
      <c r="AZ51" s="22"/>
      <c r="BA51" s="22"/>
      <c r="BB51" s="22"/>
      <c r="BC51" s="23"/>
    </row>
    <row r="52" spans="1:55" ht="15" thickBot="1" x14ac:dyDescent="0.35">
      <c r="A52" s="112">
        <v>47</v>
      </c>
      <c r="B52" s="108" t="s">
        <v>144</v>
      </c>
      <c r="C52" s="38" t="s">
        <v>145</v>
      </c>
      <c r="D52" s="38" t="s">
        <v>72</v>
      </c>
      <c r="E52" s="12">
        <v>0</v>
      </c>
      <c r="F52" s="48">
        <v>1</v>
      </c>
      <c r="G52" s="12">
        <f>3*1.666</f>
        <v>4.9979999999999993</v>
      </c>
      <c r="H52" s="12">
        <f t="shared" si="2"/>
        <v>3.9979999999999993</v>
      </c>
      <c r="I52" s="18"/>
      <c r="J52" s="18"/>
      <c r="K52" s="41"/>
      <c r="L52" s="41"/>
      <c r="M52" s="15"/>
      <c r="N52" s="15"/>
      <c r="O52" s="15"/>
      <c r="P52" s="80" t="s">
        <v>21</v>
      </c>
      <c r="Q52" s="80" t="s">
        <v>21</v>
      </c>
      <c r="R52" s="41"/>
      <c r="S52" s="41"/>
      <c r="T52" s="15">
        <v>8</v>
      </c>
      <c r="U52" s="15">
        <v>8</v>
      </c>
      <c r="V52" s="15">
        <v>8</v>
      </c>
      <c r="W52" s="18">
        <v>8</v>
      </c>
      <c r="X52" s="18">
        <v>8</v>
      </c>
      <c r="Y52" s="41"/>
      <c r="Z52" s="41"/>
      <c r="AA52" s="15">
        <v>8</v>
      </c>
      <c r="AB52" s="15">
        <v>8</v>
      </c>
      <c r="AC52" s="15">
        <v>8</v>
      </c>
      <c r="AD52" s="18">
        <v>8</v>
      </c>
      <c r="AE52" s="18" t="s">
        <v>66</v>
      </c>
      <c r="AF52" s="41"/>
      <c r="AG52" s="41"/>
      <c r="AH52" s="60">
        <v>8</v>
      </c>
      <c r="AI52" s="60">
        <v>8</v>
      </c>
      <c r="AJ52" s="61">
        <v>8</v>
      </c>
      <c r="AK52" s="119">
        <v>8</v>
      </c>
      <c r="AL52" s="119">
        <v>8</v>
      </c>
      <c r="AM52" s="59"/>
      <c r="AN52" s="67">
        <f t="shared" si="17"/>
        <v>176</v>
      </c>
      <c r="AO52" s="4">
        <f t="shared" si="4"/>
        <v>112</v>
      </c>
      <c r="AP52" s="4">
        <f t="shared" si="0"/>
        <v>-64</v>
      </c>
      <c r="AQ52" s="22"/>
      <c r="AR52" s="68">
        <v>59</v>
      </c>
      <c r="AS52" s="69" t="s">
        <v>144</v>
      </c>
      <c r="AT52" s="22"/>
      <c r="AU52" s="70">
        <v>18</v>
      </c>
      <c r="AV52" s="22"/>
      <c r="AW52" s="20"/>
      <c r="AX52" s="22"/>
      <c r="AY52" s="22"/>
      <c r="AZ52" s="22"/>
      <c r="BA52" s="22"/>
      <c r="BB52" s="22"/>
      <c r="BC52" s="23"/>
    </row>
    <row r="53" spans="1:55" ht="15" thickBot="1" x14ac:dyDescent="0.35">
      <c r="A53" s="113">
        <v>48</v>
      </c>
      <c r="B53" s="108" t="s">
        <v>146</v>
      </c>
      <c r="C53" s="38" t="s">
        <v>145</v>
      </c>
      <c r="D53" s="38" t="s">
        <v>57</v>
      </c>
      <c r="E53" s="12">
        <v>0</v>
      </c>
      <c r="F53" s="48">
        <v>1</v>
      </c>
      <c r="G53" s="12">
        <f>2*1.666</f>
        <v>3.3319999999999999</v>
      </c>
      <c r="H53" s="12">
        <f t="shared" si="2"/>
        <v>2.3319999999999999</v>
      </c>
      <c r="I53" s="18"/>
      <c r="J53" s="18"/>
      <c r="K53" s="41"/>
      <c r="L53" s="41"/>
      <c r="M53" s="15"/>
      <c r="N53" s="15"/>
      <c r="O53" s="15"/>
      <c r="P53" s="80" t="s">
        <v>21</v>
      </c>
      <c r="Q53" s="80" t="s">
        <v>21</v>
      </c>
      <c r="R53" s="41"/>
      <c r="S53" s="41"/>
      <c r="T53" s="60">
        <v>8</v>
      </c>
      <c r="U53" s="60">
        <v>8</v>
      </c>
      <c r="V53" s="60">
        <v>8</v>
      </c>
      <c r="W53" s="61">
        <v>8</v>
      </c>
      <c r="X53" s="61"/>
      <c r="Y53" s="41"/>
      <c r="Z53" s="41"/>
      <c r="AA53" s="15">
        <v>8</v>
      </c>
      <c r="AB53" s="15">
        <v>8</v>
      </c>
      <c r="AC53" s="15">
        <v>8</v>
      </c>
      <c r="AD53" s="18">
        <v>8</v>
      </c>
      <c r="AE53" s="18">
        <v>8</v>
      </c>
      <c r="AF53" s="41"/>
      <c r="AG53" s="41"/>
      <c r="AH53" s="15">
        <v>8</v>
      </c>
      <c r="AI53" s="15">
        <v>3</v>
      </c>
      <c r="AJ53" s="18">
        <v>8</v>
      </c>
      <c r="AK53" s="118">
        <v>8</v>
      </c>
      <c r="AL53" s="118">
        <v>8</v>
      </c>
      <c r="AM53" s="59"/>
      <c r="AN53" s="67">
        <f t="shared" si="17"/>
        <v>176</v>
      </c>
      <c r="AO53" s="4">
        <f t="shared" si="4"/>
        <v>107</v>
      </c>
      <c r="AP53" s="4">
        <f t="shared" si="0"/>
        <v>-69</v>
      </c>
      <c r="AQ53" s="22"/>
      <c r="AR53" s="68">
        <v>60</v>
      </c>
      <c r="AS53" s="69" t="s">
        <v>146</v>
      </c>
      <c r="AT53" s="22"/>
      <c r="AU53" s="70">
        <v>5</v>
      </c>
      <c r="AV53" s="22"/>
      <c r="AW53" s="22"/>
      <c r="AX53" s="22"/>
      <c r="AY53" s="22"/>
      <c r="AZ53" s="22"/>
      <c r="BA53" s="22"/>
      <c r="BB53" s="22"/>
      <c r="BC53" s="23"/>
    </row>
    <row r="54" spans="1:55" ht="15" thickBot="1" x14ac:dyDescent="0.35">
      <c r="A54" s="112">
        <v>49</v>
      </c>
      <c r="B54" s="108" t="s">
        <v>147</v>
      </c>
      <c r="C54" s="38" t="s">
        <v>148</v>
      </c>
      <c r="D54" s="38" t="s">
        <v>122</v>
      </c>
      <c r="E54" s="12">
        <v>0</v>
      </c>
      <c r="F54" s="48">
        <v>1</v>
      </c>
      <c r="G54" s="12">
        <f>2*1.666</f>
        <v>3.3319999999999999</v>
      </c>
      <c r="H54" s="12">
        <f t="shared" si="2"/>
        <v>2.3319999999999999</v>
      </c>
      <c r="I54" s="18"/>
      <c r="J54" s="18"/>
      <c r="K54" s="41"/>
      <c r="L54" s="41"/>
      <c r="M54" s="15"/>
      <c r="N54" s="15"/>
      <c r="O54" s="15"/>
      <c r="P54" s="80" t="s">
        <v>21</v>
      </c>
      <c r="Q54" s="80" t="s">
        <v>21</v>
      </c>
      <c r="R54" s="41"/>
      <c r="S54" s="41"/>
      <c r="T54" s="15">
        <v>8</v>
      </c>
      <c r="U54" s="15">
        <v>8</v>
      </c>
      <c r="V54" s="15">
        <v>8</v>
      </c>
      <c r="W54" s="18">
        <v>8</v>
      </c>
      <c r="X54" s="18">
        <v>8</v>
      </c>
      <c r="Y54" s="41"/>
      <c r="Z54" s="41"/>
      <c r="AA54" s="15">
        <v>8</v>
      </c>
      <c r="AB54" s="15">
        <v>8</v>
      </c>
      <c r="AC54" s="15">
        <v>8</v>
      </c>
      <c r="AD54" s="18">
        <v>8</v>
      </c>
      <c r="AE54" s="18">
        <v>8</v>
      </c>
      <c r="AF54" s="41"/>
      <c r="AG54" s="41"/>
      <c r="AH54" s="15">
        <v>8</v>
      </c>
      <c r="AI54" s="15">
        <v>8</v>
      </c>
      <c r="AJ54" s="18">
        <v>8</v>
      </c>
      <c r="AK54" s="118">
        <v>8</v>
      </c>
      <c r="AL54" s="118">
        <v>8</v>
      </c>
      <c r="AM54" s="59"/>
      <c r="AN54" s="67">
        <f t="shared" si="17"/>
        <v>176</v>
      </c>
      <c r="AO54" s="4">
        <f t="shared" si="4"/>
        <v>120</v>
      </c>
      <c r="AP54" s="4">
        <f t="shared" si="0"/>
        <v>-56</v>
      </c>
      <c r="AQ54" s="22"/>
      <c r="AR54" s="68">
        <v>61</v>
      </c>
      <c r="AS54" s="69" t="s">
        <v>147</v>
      </c>
      <c r="AT54" s="22"/>
      <c r="AU54" s="70">
        <v>5</v>
      </c>
      <c r="AV54" s="22"/>
      <c r="AW54" s="22"/>
      <c r="AX54" s="22"/>
      <c r="AY54" s="22"/>
      <c r="AZ54" s="22"/>
      <c r="BA54" s="22"/>
      <c r="BB54" s="22"/>
      <c r="BC54" s="23"/>
    </row>
    <row r="55" spans="1:55" ht="15" thickBot="1" x14ac:dyDescent="0.35">
      <c r="A55" s="113">
        <v>50</v>
      </c>
      <c r="B55" s="108" t="s">
        <v>149</v>
      </c>
      <c r="C55" s="38" t="s">
        <v>150</v>
      </c>
      <c r="D55" s="38" t="s">
        <v>90</v>
      </c>
      <c r="E55" s="12">
        <v>0</v>
      </c>
      <c r="F55" s="48">
        <v>2</v>
      </c>
      <c r="G55" s="12">
        <f>2*1.666</f>
        <v>3.3319999999999999</v>
      </c>
      <c r="H55" s="12">
        <f t="shared" si="2"/>
        <v>1.3319999999999999</v>
      </c>
      <c r="I55" s="18"/>
      <c r="J55" s="18"/>
      <c r="K55" s="41"/>
      <c r="L55" s="41"/>
      <c r="M55" s="15"/>
      <c r="N55" s="15"/>
      <c r="O55" s="15"/>
      <c r="P55" s="80" t="s">
        <v>21</v>
      </c>
      <c r="Q55" s="80" t="s">
        <v>21</v>
      </c>
      <c r="R55" s="41"/>
      <c r="S55" s="41"/>
      <c r="T55" s="15">
        <v>8</v>
      </c>
      <c r="U55" s="15">
        <v>8</v>
      </c>
      <c r="V55" s="15">
        <v>8</v>
      </c>
      <c r="W55" s="18">
        <v>8</v>
      </c>
      <c r="X55" s="18">
        <v>8</v>
      </c>
      <c r="Y55" s="41"/>
      <c r="Z55" s="41"/>
      <c r="AA55" s="15">
        <v>8</v>
      </c>
      <c r="AB55" s="15">
        <v>8</v>
      </c>
      <c r="AC55" s="15">
        <v>8</v>
      </c>
      <c r="AD55" s="18">
        <v>8</v>
      </c>
      <c r="AE55" s="18">
        <v>8</v>
      </c>
      <c r="AF55" s="41"/>
      <c r="AG55" s="41"/>
      <c r="AH55" s="60">
        <v>8</v>
      </c>
      <c r="AI55" s="60" t="s">
        <v>66</v>
      </c>
      <c r="AJ55" s="61">
        <v>8</v>
      </c>
      <c r="AK55" s="119">
        <v>8</v>
      </c>
      <c r="AL55" s="119">
        <v>8</v>
      </c>
      <c r="AM55" s="58"/>
      <c r="AN55" s="67">
        <f t="shared" si="17"/>
        <v>176</v>
      </c>
      <c r="AO55" s="4">
        <f t="shared" si="4"/>
        <v>112</v>
      </c>
      <c r="AP55" s="4">
        <f t="shared" si="0"/>
        <v>-64</v>
      </c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3"/>
    </row>
    <row r="56" spans="1:55" ht="15" thickBot="1" x14ac:dyDescent="0.35">
      <c r="A56" s="112">
        <v>51</v>
      </c>
      <c r="B56" s="108" t="s">
        <v>151</v>
      </c>
      <c r="C56" s="38" t="s">
        <v>145</v>
      </c>
      <c r="D56" s="38" t="s">
        <v>72</v>
      </c>
      <c r="E56" s="12"/>
      <c r="F56" s="48">
        <v>1</v>
      </c>
      <c r="G56" s="12">
        <f>1*1.666</f>
        <v>1.6659999999999999</v>
      </c>
      <c r="H56" s="12">
        <f t="shared" si="2"/>
        <v>0.66599999999999993</v>
      </c>
      <c r="I56" s="18"/>
      <c r="J56" s="18"/>
      <c r="K56" s="41"/>
      <c r="L56" s="41"/>
      <c r="M56" s="15"/>
      <c r="N56" s="15"/>
      <c r="O56" s="15"/>
      <c r="P56" s="80" t="s">
        <v>21</v>
      </c>
      <c r="Q56" s="80" t="s">
        <v>21</v>
      </c>
      <c r="R56" s="41"/>
      <c r="S56" s="41"/>
      <c r="T56" s="60">
        <v>8</v>
      </c>
      <c r="U56" s="60">
        <v>8</v>
      </c>
      <c r="V56" s="60">
        <v>8</v>
      </c>
      <c r="W56" s="61">
        <v>8</v>
      </c>
      <c r="X56" s="61"/>
      <c r="Y56" s="41"/>
      <c r="Z56" s="41"/>
      <c r="AA56" s="15">
        <v>8</v>
      </c>
      <c r="AB56" s="15">
        <v>8</v>
      </c>
      <c r="AC56" s="15">
        <v>8</v>
      </c>
      <c r="AD56" s="18">
        <v>8</v>
      </c>
      <c r="AE56" s="18">
        <v>8</v>
      </c>
      <c r="AF56" s="41"/>
      <c r="AG56" s="41"/>
      <c r="AH56" s="15">
        <v>8</v>
      </c>
      <c r="AI56" s="15">
        <v>8</v>
      </c>
      <c r="AJ56" s="18">
        <v>8</v>
      </c>
      <c r="AK56" s="118"/>
      <c r="AL56" s="118"/>
      <c r="AM56" s="58"/>
      <c r="AN56" s="67">
        <f>22*8</f>
        <v>176</v>
      </c>
      <c r="AO56" s="4">
        <f>SUM(I56:AM56)</f>
        <v>96</v>
      </c>
      <c r="AP56" s="4">
        <f t="shared" ref="AP56:AP64" si="22">AO56-AN56</f>
        <v>-80</v>
      </c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3"/>
    </row>
    <row r="57" spans="1:55" ht="15" thickBot="1" x14ac:dyDescent="0.35">
      <c r="A57" s="113">
        <v>52</v>
      </c>
      <c r="B57" s="108" t="s">
        <v>152</v>
      </c>
      <c r="C57" s="38" t="s">
        <v>148</v>
      </c>
      <c r="D57" s="38" t="s">
        <v>153</v>
      </c>
      <c r="E57" s="12"/>
      <c r="F57" s="48">
        <v>1</v>
      </c>
      <c r="G57" s="12">
        <f>1*1.666</f>
        <v>1.6659999999999999</v>
      </c>
      <c r="H57" s="12">
        <f t="shared" si="2"/>
        <v>0.66599999999999993</v>
      </c>
      <c r="I57" s="18"/>
      <c r="J57" s="18"/>
      <c r="K57" s="41"/>
      <c r="L57" s="41"/>
      <c r="M57" s="15"/>
      <c r="N57" s="15"/>
      <c r="O57" s="15"/>
      <c r="P57" s="80" t="s">
        <v>21</v>
      </c>
      <c r="Q57" s="80" t="s">
        <v>21</v>
      </c>
      <c r="R57" s="41"/>
      <c r="S57" s="41"/>
      <c r="T57" s="15">
        <v>8</v>
      </c>
      <c r="U57" s="15">
        <v>8</v>
      </c>
      <c r="V57" s="15">
        <v>8</v>
      </c>
      <c r="W57" s="18">
        <v>8</v>
      </c>
      <c r="X57" s="18">
        <v>8</v>
      </c>
      <c r="Y57" s="41"/>
      <c r="Z57" s="41"/>
      <c r="AA57" s="15">
        <v>8</v>
      </c>
      <c r="AB57" s="15">
        <v>8</v>
      </c>
      <c r="AC57" s="15">
        <v>8</v>
      </c>
      <c r="AD57" s="18">
        <v>8</v>
      </c>
      <c r="AE57" s="18">
        <v>8</v>
      </c>
      <c r="AF57" s="41"/>
      <c r="AG57" s="41"/>
      <c r="AH57" s="15">
        <v>8</v>
      </c>
      <c r="AI57" s="15">
        <v>8</v>
      </c>
      <c r="AJ57" s="18">
        <v>8</v>
      </c>
      <c r="AK57" s="118"/>
      <c r="AL57" s="118"/>
      <c r="AM57" s="58"/>
      <c r="AN57" s="67">
        <f>22*8</f>
        <v>176</v>
      </c>
      <c r="AO57" s="4">
        <f>SUM(I57:AM57)</f>
        <v>104</v>
      </c>
      <c r="AP57" s="4">
        <f t="shared" si="22"/>
        <v>-72</v>
      </c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3"/>
    </row>
    <row r="58" spans="1:55" ht="15" thickBot="1" x14ac:dyDescent="0.35">
      <c r="A58" s="112">
        <v>53</v>
      </c>
      <c r="B58" s="108" t="s">
        <v>154</v>
      </c>
      <c r="C58" s="38" t="s">
        <v>69</v>
      </c>
      <c r="D58" s="38" t="s">
        <v>87</v>
      </c>
      <c r="E58" s="12"/>
      <c r="F58" s="48">
        <v>3</v>
      </c>
      <c r="G58" s="12">
        <f>1*1.666</f>
        <v>1.6659999999999999</v>
      </c>
      <c r="H58" s="12">
        <f t="shared" si="2"/>
        <v>-1.3340000000000001</v>
      </c>
      <c r="I58" s="18"/>
      <c r="J58" s="18"/>
      <c r="K58" s="41"/>
      <c r="L58" s="41"/>
      <c r="M58" s="15"/>
      <c r="N58" s="15"/>
      <c r="O58" s="15"/>
      <c r="P58" s="80" t="s">
        <v>21</v>
      </c>
      <c r="Q58" s="80" t="s">
        <v>21</v>
      </c>
      <c r="R58" s="41"/>
      <c r="S58" s="41"/>
      <c r="T58" s="15">
        <v>8</v>
      </c>
      <c r="U58" s="15">
        <v>8</v>
      </c>
      <c r="V58" s="15">
        <v>8</v>
      </c>
      <c r="W58" s="18">
        <v>8</v>
      </c>
      <c r="X58" s="18">
        <v>8</v>
      </c>
      <c r="Y58" s="41"/>
      <c r="Z58" s="41"/>
      <c r="AA58" s="60">
        <v>8</v>
      </c>
      <c r="AB58" s="66">
        <v>8</v>
      </c>
      <c r="AC58" s="60">
        <v>8</v>
      </c>
      <c r="AD58" s="61">
        <v>8</v>
      </c>
      <c r="AE58" s="61">
        <v>8</v>
      </c>
      <c r="AF58" s="41"/>
      <c r="AG58" s="41"/>
      <c r="AH58" s="15">
        <v>8</v>
      </c>
      <c r="AI58" s="15">
        <v>8</v>
      </c>
      <c r="AJ58" s="18">
        <v>8</v>
      </c>
      <c r="AK58" s="118" t="s">
        <v>31</v>
      </c>
      <c r="AL58" s="118">
        <v>8</v>
      </c>
      <c r="AM58" s="58"/>
      <c r="AN58" s="67">
        <f t="shared" si="17"/>
        <v>176</v>
      </c>
      <c r="AO58" s="4">
        <f t="shared" si="4"/>
        <v>112</v>
      </c>
      <c r="AP58" s="4">
        <f t="shared" si="22"/>
        <v>-64</v>
      </c>
      <c r="AQ58" s="71"/>
      <c r="AR58" s="72"/>
      <c r="AS58" s="73"/>
      <c r="AT58" s="71"/>
      <c r="AU58" s="74"/>
      <c r="AV58" s="71"/>
      <c r="AW58" s="71"/>
      <c r="AX58" s="71"/>
      <c r="AY58" s="71"/>
      <c r="AZ58" s="71"/>
      <c r="BA58" s="71"/>
      <c r="BB58" s="71"/>
      <c r="BC58" s="85"/>
    </row>
    <row r="59" spans="1:55" s="14" customFormat="1" ht="15" thickBot="1" x14ac:dyDescent="0.35">
      <c r="A59" s="113">
        <v>54</v>
      </c>
      <c r="B59" s="111" t="s">
        <v>155</v>
      </c>
      <c r="C59" s="86" t="s">
        <v>61</v>
      </c>
      <c r="D59" s="86" t="s">
        <v>62</v>
      </c>
      <c r="E59" s="40">
        <v>0</v>
      </c>
      <c r="F59" s="121">
        <v>3</v>
      </c>
      <c r="G59" s="12">
        <f>1*1.666</f>
        <v>1.6659999999999999</v>
      </c>
      <c r="H59" s="12">
        <f>G59-F59</f>
        <v>-1.3340000000000001</v>
      </c>
      <c r="I59" s="50"/>
      <c r="J59" s="50"/>
      <c r="K59" s="41"/>
      <c r="L59" s="41"/>
      <c r="M59" s="37"/>
      <c r="N59" s="37">
        <f>SUM(N6:N58)</f>
        <v>0</v>
      </c>
      <c r="O59" s="37">
        <f>SUM(O6:O58)</f>
        <v>0</v>
      </c>
      <c r="P59" s="80"/>
      <c r="Q59" s="80"/>
      <c r="R59" s="41"/>
      <c r="S59" s="41"/>
      <c r="T59" s="37"/>
      <c r="U59" s="103"/>
      <c r="V59" s="103"/>
      <c r="W59" s="50"/>
      <c r="X59" s="50"/>
      <c r="Y59" s="41"/>
      <c r="Z59" s="41"/>
      <c r="AA59" s="37"/>
      <c r="AB59" s="103">
        <v>8</v>
      </c>
      <c r="AC59" s="103">
        <v>8</v>
      </c>
      <c r="AD59" s="103">
        <v>8</v>
      </c>
      <c r="AE59" s="103">
        <v>8</v>
      </c>
      <c r="AF59" s="41"/>
      <c r="AG59" s="41"/>
      <c r="AH59" s="115">
        <v>8</v>
      </c>
      <c r="AI59" s="115">
        <v>8</v>
      </c>
      <c r="AJ59" s="115">
        <v>8</v>
      </c>
      <c r="AK59" s="115">
        <v>3.5</v>
      </c>
      <c r="AL59" s="115">
        <v>8</v>
      </c>
      <c r="AM59" s="103"/>
      <c r="AN59" s="67">
        <f>22*8</f>
        <v>176</v>
      </c>
      <c r="AO59" s="4">
        <f>SUM(I59:AM59)</f>
        <v>67.5</v>
      </c>
      <c r="AP59" s="4">
        <f>AO59-AN59</f>
        <v>-108.5</v>
      </c>
      <c r="AQ59" s="103"/>
      <c r="AR59" s="104">
        <f>A59</f>
        <v>54</v>
      </c>
      <c r="AS59" s="105" t="str">
        <f>B59</f>
        <v>Aleksandar Novakov</v>
      </c>
      <c r="AT59" s="103"/>
      <c r="AU59" s="42"/>
      <c r="AV59" s="103"/>
      <c r="AW59" s="103"/>
      <c r="AX59" s="103"/>
      <c r="AY59" s="103"/>
      <c r="AZ59" s="103"/>
      <c r="BA59" s="103"/>
      <c r="BB59" s="103"/>
      <c r="BC59" s="106"/>
    </row>
    <row r="60" spans="1:55" ht="15" thickBot="1" x14ac:dyDescent="0.35">
      <c r="A60" s="112">
        <v>56</v>
      </c>
      <c r="B60" s="108" t="s">
        <v>156</v>
      </c>
      <c r="C60" s="38" t="s">
        <v>86</v>
      </c>
      <c r="D60" s="38" t="s">
        <v>157</v>
      </c>
      <c r="E60" s="12"/>
      <c r="F60" s="48"/>
      <c r="G60" s="12"/>
      <c r="H60" s="12"/>
      <c r="I60" s="18"/>
      <c r="J60" s="18"/>
      <c r="K60" s="41"/>
      <c r="L60" s="41"/>
      <c r="M60" s="15"/>
      <c r="N60" s="15"/>
      <c r="O60" s="15"/>
      <c r="P60" s="80" t="s">
        <v>21</v>
      </c>
      <c r="Q60" s="80" t="s">
        <v>21</v>
      </c>
      <c r="R60" s="41"/>
      <c r="S60" s="41"/>
      <c r="T60" s="15"/>
      <c r="U60" s="15"/>
      <c r="V60" s="15"/>
      <c r="W60" s="18"/>
      <c r="X60" s="18"/>
      <c r="Y60" s="41"/>
      <c r="Z60" s="41"/>
      <c r="AA60" s="15"/>
      <c r="AB60" s="15"/>
      <c r="AC60" s="15"/>
      <c r="AD60" s="18"/>
      <c r="AE60" s="18"/>
      <c r="AF60" s="41"/>
      <c r="AG60" s="41"/>
      <c r="AH60" s="15"/>
      <c r="AI60" s="15"/>
      <c r="AJ60" s="18"/>
      <c r="AK60" s="118"/>
      <c r="AL60" s="118"/>
      <c r="AM60" s="59"/>
      <c r="AN60" s="75"/>
      <c r="AO60" s="4"/>
      <c r="AP60" s="4"/>
      <c r="AQ60" s="22"/>
      <c r="AR60" s="65"/>
      <c r="AS60" s="38"/>
      <c r="AT60" s="38"/>
      <c r="AU60" s="76"/>
      <c r="AV60" s="20"/>
      <c r="AW60" s="20"/>
      <c r="AX60" s="22"/>
      <c r="AY60" s="36"/>
      <c r="AZ60" s="36"/>
      <c r="BA60" s="36"/>
      <c r="BB60" s="22"/>
      <c r="BC60" s="23"/>
    </row>
    <row r="61" spans="1:55" ht="15" thickBot="1" x14ac:dyDescent="0.35">
      <c r="A61" s="112">
        <v>55</v>
      </c>
      <c r="B61" s="108" t="s">
        <v>158</v>
      </c>
      <c r="C61" s="38" t="s">
        <v>159</v>
      </c>
      <c r="D61" s="38" t="s">
        <v>160</v>
      </c>
      <c r="E61" s="12">
        <v>0</v>
      </c>
      <c r="F61" s="48">
        <v>15</v>
      </c>
      <c r="G61" s="12">
        <f t="shared" si="10"/>
        <v>19.991999999999997</v>
      </c>
      <c r="H61" s="12">
        <f>G61-F61</f>
        <v>4.9919999999999973</v>
      </c>
      <c r="I61" s="18"/>
      <c r="J61" s="18"/>
      <c r="K61" s="41"/>
      <c r="L61" s="41"/>
      <c r="M61" s="15"/>
      <c r="N61" s="15"/>
      <c r="O61" s="15"/>
      <c r="P61" s="80" t="s">
        <v>21</v>
      </c>
      <c r="Q61" s="80" t="s">
        <v>21</v>
      </c>
      <c r="R61" s="41"/>
      <c r="S61" s="41"/>
      <c r="T61" s="15">
        <v>8</v>
      </c>
      <c r="U61" s="15">
        <v>8</v>
      </c>
      <c r="V61" s="15">
        <v>8</v>
      </c>
      <c r="W61" s="18">
        <v>8</v>
      </c>
      <c r="X61" s="18">
        <v>8</v>
      </c>
      <c r="Y61" s="41"/>
      <c r="Z61" s="41"/>
      <c r="AA61" s="15">
        <v>8</v>
      </c>
      <c r="AB61" s="15" t="s">
        <v>161</v>
      </c>
      <c r="AC61" s="15">
        <v>8</v>
      </c>
      <c r="AD61" s="18">
        <v>8</v>
      </c>
      <c r="AE61" s="18">
        <v>8</v>
      </c>
      <c r="AF61" s="41"/>
      <c r="AG61" s="41"/>
      <c r="AH61" s="15">
        <v>8</v>
      </c>
      <c r="AI61" s="15">
        <v>8</v>
      </c>
      <c r="AJ61" s="18">
        <v>8</v>
      </c>
      <c r="AK61" s="118">
        <v>8</v>
      </c>
      <c r="AL61" s="118">
        <v>8</v>
      </c>
      <c r="AM61" s="59"/>
      <c r="AN61" s="75">
        <f t="shared" si="3"/>
        <v>176</v>
      </c>
      <c r="AO61" s="4">
        <f>SUM(I61:AM61)</f>
        <v>112</v>
      </c>
      <c r="AP61" s="4">
        <f t="shared" si="22"/>
        <v>-64</v>
      </c>
      <c r="AQ61" s="22"/>
      <c r="AR61" s="65">
        <f t="shared" ref="AR61:AT64" si="23">A61</f>
        <v>55</v>
      </c>
      <c r="AS61" s="38" t="str">
        <f t="shared" si="23"/>
        <v>Aleksandar Perić</v>
      </c>
      <c r="AT61" s="38" t="str">
        <f t="shared" si="23"/>
        <v>Magacin</v>
      </c>
      <c r="AU61" s="76">
        <v>23</v>
      </c>
      <c r="AV61" s="20"/>
      <c r="AW61" s="20"/>
      <c r="AX61" s="22"/>
      <c r="AY61" s="36">
        <f>COUNTIF(K61:AM61,"bo")</f>
        <v>0</v>
      </c>
      <c r="AZ61" s="36"/>
      <c r="BA61" s="36">
        <f>(COUNTIF(K61:AM61,"go")*8+COUNTIF(K61:AM61,"sd")*8)/8</f>
        <v>2</v>
      </c>
      <c r="BB61" s="22"/>
      <c r="BC61" s="23"/>
    </row>
    <row r="62" spans="1:55" ht="15" thickBot="1" x14ac:dyDescent="0.35">
      <c r="A62" s="112">
        <v>59</v>
      </c>
      <c r="B62" s="108" t="s">
        <v>162</v>
      </c>
      <c r="C62" s="38" t="s">
        <v>159</v>
      </c>
      <c r="D62" s="38" t="s">
        <v>160</v>
      </c>
      <c r="E62" s="12">
        <v>0</v>
      </c>
      <c r="F62" s="48">
        <v>15</v>
      </c>
      <c r="G62" s="12">
        <f>12*1.666</f>
        <v>19.991999999999997</v>
      </c>
      <c r="H62" s="12">
        <f>G62-F62</f>
        <v>4.9919999999999973</v>
      </c>
      <c r="I62" s="18"/>
      <c r="J62" s="18"/>
      <c r="K62" s="41"/>
      <c r="L62" s="41"/>
      <c r="M62" s="15">
        <v>8</v>
      </c>
      <c r="N62" s="15"/>
      <c r="O62" s="15"/>
      <c r="P62" s="80" t="s">
        <v>21</v>
      </c>
      <c r="Q62" s="80" t="s">
        <v>21</v>
      </c>
      <c r="R62" s="41"/>
      <c r="S62" s="41"/>
      <c r="T62" s="15">
        <v>8</v>
      </c>
      <c r="U62" s="15">
        <v>8</v>
      </c>
      <c r="V62" s="15">
        <v>8</v>
      </c>
      <c r="W62" s="18">
        <v>8</v>
      </c>
      <c r="X62" s="18">
        <v>8</v>
      </c>
      <c r="Y62" s="41">
        <v>2</v>
      </c>
      <c r="Z62" s="41"/>
      <c r="AA62" s="15">
        <v>8</v>
      </c>
      <c r="AB62" s="15">
        <v>8</v>
      </c>
      <c r="AC62" s="15">
        <v>8</v>
      </c>
      <c r="AD62" s="18">
        <v>8</v>
      </c>
      <c r="AE62" s="18">
        <v>8</v>
      </c>
      <c r="AF62" s="41">
        <v>8</v>
      </c>
      <c r="AG62" s="41"/>
      <c r="AH62" s="15">
        <v>8</v>
      </c>
      <c r="AI62" s="15">
        <v>8</v>
      </c>
      <c r="AJ62" s="18">
        <v>8</v>
      </c>
      <c r="AK62" s="118">
        <v>8</v>
      </c>
      <c r="AL62" s="118">
        <v>8</v>
      </c>
      <c r="AM62" s="59">
        <v>8</v>
      </c>
      <c r="AN62" s="67">
        <f t="shared" si="11"/>
        <v>176</v>
      </c>
      <c r="AO62" s="4">
        <f>SUM(I62:AM62)</f>
        <v>146</v>
      </c>
      <c r="AP62" s="4">
        <f>AO62-AN62</f>
        <v>-30</v>
      </c>
      <c r="AQ62" s="22"/>
      <c r="AR62" s="65">
        <f>A62</f>
        <v>59</v>
      </c>
      <c r="AS62" s="38" t="str">
        <f>B62</f>
        <v>Saša Nikolić</v>
      </c>
      <c r="AT62" s="38" t="str">
        <f>C62</f>
        <v>Magacin</v>
      </c>
      <c r="AU62" s="76">
        <v>17</v>
      </c>
      <c r="AV62" s="22"/>
      <c r="AW62" s="20"/>
      <c r="AX62" s="22"/>
      <c r="AY62" s="36">
        <f>COUNTIF(K62:AM62,"bo")</f>
        <v>0</v>
      </c>
      <c r="AZ62" s="36"/>
      <c r="BA62" s="36">
        <f>(COUNTIF(K62:AM62,"go")*8+COUNTIF(K62:AM62,"sd")*8)/8</f>
        <v>2</v>
      </c>
      <c r="BB62" s="22" t="s">
        <v>163</v>
      </c>
      <c r="BC62" s="23"/>
    </row>
    <row r="63" spans="1:55" ht="15" thickBot="1" x14ac:dyDescent="0.35">
      <c r="A63" s="113">
        <v>57</v>
      </c>
      <c r="B63" s="108" t="s">
        <v>164</v>
      </c>
      <c r="C63" s="38" t="s">
        <v>165</v>
      </c>
      <c r="D63" s="38" t="s">
        <v>166</v>
      </c>
      <c r="E63" s="12">
        <v>0</v>
      </c>
      <c r="F63" s="48">
        <v>9</v>
      </c>
      <c r="G63" s="12">
        <f t="shared" si="10"/>
        <v>19.991999999999997</v>
      </c>
      <c r="H63" s="12">
        <f>G63-F63</f>
        <v>10.991999999999997</v>
      </c>
      <c r="I63" s="18"/>
      <c r="J63" s="18"/>
      <c r="K63" s="41"/>
      <c r="L63" s="41"/>
      <c r="M63" s="15">
        <v>8</v>
      </c>
      <c r="N63" s="15"/>
      <c r="O63" s="15"/>
      <c r="P63" s="80" t="s">
        <v>21</v>
      </c>
      <c r="Q63" s="80" t="s">
        <v>21</v>
      </c>
      <c r="R63" s="41"/>
      <c r="S63" s="41"/>
      <c r="T63" s="15">
        <v>8</v>
      </c>
      <c r="U63" s="15">
        <v>8</v>
      </c>
      <c r="V63" s="15">
        <v>8</v>
      </c>
      <c r="W63" s="18">
        <v>8</v>
      </c>
      <c r="X63" s="18">
        <v>8</v>
      </c>
      <c r="Y63" s="41"/>
      <c r="Z63" s="41"/>
      <c r="AA63" s="15">
        <v>8</v>
      </c>
      <c r="AB63" s="15">
        <v>8</v>
      </c>
      <c r="AC63" s="15">
        <v>8</v>
      </c>
      <c r="AD63" s="18">
        <v>8</v>
      </c>
      <c r="AE63" s="18">
        <v>8</v>
      </c>
      <c r="AF63" s="41">
        <v>8</v>
      </c>
      <c r="AG63" s="41"/>
      <c r="AH63" s="15">
        <v>8</v>
      </c>
      <c r="AI63" s="15">
        <v>8</v>
      </c>
      <c r="AJ63" s="18">
        <v>8</v>
      </c>
      <c r="AK63" s="118">
        <v>8</v>
      </c>
      <c r="AL63" s="118">
        <v>8</v>
      </c>
      <c r="AM63" s="59">
        <v>4</v>
      </c>
      <c r="AN63" s="75">
        <f t="shared" si="3"/>
        <v>176</v>
      </c>
      <c r="AO63" s="4">
        <f>SUM(I63:AM63)</f>
        <v>140</v>
      </c>
      <c r="AP63" s="4">
        <f t="shared" si="22"/>
        <v>-36</v>
      </c>
      <c r="AQ63" s="22"/>
      <c r="AR63" s="65">
        <f t="shared" si="23"/>
        <v>57</v>
      </c>
      <c r="AS63" s="38" t="str">
        <f t="shared" si="23"/>
        <v>Miloš Jevtić</v>
      </c>
      <c r="AT63" s="38" t="str">
        <f t="shared" si="23"/>
        <v>Održavanje</v>
      </c>
      <c r="AU63" s="76">
        <v>23</v>
      </c>
      <c r="AV63" s="20"/>
      <c r="AW63" s="20"/>
      <c r="AX63" s="22"/>
      <c r="AY63" s="36">
        <f>COUNTIF(K63:AM63,"bo")</f>
        <v>0</v>
      </c>
      <c r="AZ63" s="36"/>
      <c r="BA63" s="36">
        <f>(COUNTIF(K63:AM63,"go")*8+COUNTIF(K63:AM63,"sd")*8)/8</f>
        <v>2</v>
      </c>
      <c r="BB63" s="22"/>
      <c r="BC63" s="23"/>
    </row>
    <row r="64" spans="1:55" ht="15" thickBot="1" x14ac:dyDescent="0.35">
      <c r="A64" s="112">
        <v>58</v>
      </c>
      <c r="B64" s="108" t="s">
        <v>167</v>
      </c>
      <c r="C64" s="38" t="s">
        <v>165</v>
      </c>
      <c r="D64" s="38" t="s">
        <v>166</v>
      </c>
      <c r="E64" s="12">
        <v>0</v>
      </c>
      <c r="F64" s="48">
        <v>12</v>
      </c>
      <c r="G64" s="12">
        <f t="shared" si="10"/>
        <v>19.991999999999997</v>
      </c>
      <c r="H64" s="12">
        <f>G64-F64</f>
        <v>7.9919999999999973</v>
      </c>
      <c r="I64" s="18"/>
      <c r="J64" s="18"/>
      <c r="K64" s="41"/>
      <c r="L64" s="41"/>
      <c r="M64" s="15">
        <v>8</v>
      </c>
      <c r="N64" s="15"/>
      <c r="O64" s="15"/>
      <c r="P64" s="80" t="s">
        <v>21</v>
      </c>
      <c r="Q64" s="80" t="s">
        <v>21</v>
      </c>
      <c r="R64" s="41">
        <v>1</v>
      </c>
      <c r="S64" s="41"/>
      <c r="T64" s="15">
        <v>8</v>
      </c>
      <c r="U64" s="15">
        <v>8</v>
      </c>
      <c r="V64" s="15">
        <v>8</v>
      </c>
      <c r="W64" s="18">
        <v>7</v>
      </c>
      <c r="X64" s="18">
        <v>8</v>
      </c>
      <c r="Y64" s="41"/>
      <c r="Z64" s="41">
        <v>5</v>
      </c>
      <c r="AA64" s="15">
        <v>8</v>
      </c>
      <c r="AB64" s="15" t="s">
        <v>31</v>
      </c>
      <c r="AC64" s="15">
        <v>8</v>
      </c>
      <c r="AD64" s="18">
        <v>8</v>
      </c>
      <c r="AE64" s="18">
        <v>8</v>
      </c>
      <c r="AF64" s="41">
        <v>8</v>
      </c>
      <c r="AG64" s="41"/>
      <c r="AH64" s="15">
        <v>8</v>
      </c>
      <c r="AI64" s="15">
        <v>8</v>
      </c>
      <c r="AJ64" s="18">
        <v>8</v>
      </c>
      <c r="AK64" s="118">
        <v>8</v>
      </c>
      <c r="AL64" s="118">
        <v>8</v>
      </c>
      <c r="AM64" s="59">
        <v>8</v>
      </c>
      <c r="AN64" s="75">
        <f t="shared" si="3"/>
        <v>176</v>
      </c>
      <c r="AO64" s="4">
        <f>SUM(I64:AM64)</f>
        <v>141</v>
      </c>
      <c r="AP64" s="4">
        <f t="shared" si="22"/>
        <v>-35</v>
      </c>
      <c r="AQ64" s="22"/>
      <c r="AR64" s="65">
        <f t="shared" si="23"/>
        <v>58</v>
      </c>
      <c r="AS64" s="38" t="str">
        <f t="shared" si="23"/>
        <v>Draško Stokić</v>
      </c>
      <c r="AT64" s="38" t="str">
        <f t="shared" si="23"/>
        <v>Održavanje</v>
      </c>
      <c r="AU64" s="76">
        <v>23</v>
      </c>
      <c r="AV64" s="74"/>
      <c r="AW64" s="22"/>
      <c r="AX64" s="22"/>
      <c r="AY64" s="36">
        <f>COUNTIF(K64:AM64,"bo")</f>
        <v>0</v>
      </c>
      <c r="AZ64" s="36"/>
      <c r="BA64" s="36">
        <f>(COUNTIF(K64:AM64,"go")*8+COUNTIF(K64:AM64,"sd")*8)/8</f>
        <v>2</v>
      </c>
      <c r="BB64" s="22"/>
      <c r="BC64" s="23"/>
    </row>
    <row r="65" spans="1:55" x14ac:dyDescent="0.3">
      <c r="A65" s="113">
        <v>60</v>
      </c>
      <c r="B65" s="110" t="s">
        <v>168</v>
      </c>
      <c r="C65" s="62" t="s">
        <v>159</v>
      </c>
      <c r="D65" s="62" t="s">
        <v>160</v>
      </c>
      <c r="E65" s="12">
        <v>0</v>
      </c>
      <c r="F65" s="48">
        <v>22</v>
      </c>
      <c r="G65" s="12">
        <f t="shared" si="19"/>
        <v>19.991999999999997</v>
      </c>
      <c r="H65" s="12">
        <f>G65-F65</f>
        <v>-2.0080000000000027</v>
      </c>
      <c r="I65" s="18"/>
      <c r="J65" s="18"/>
      <c r="K65" s="41"/>
      <c r="L65" s="41"/>
      <c r="M65" s="15">
        <v>8</v>
      </c>
      <c r="N65" s="15"/>
      <c r="O65" s="15"/>
      <c r="P65" s="80" t="s">
        <v>21</v>
      </c>
      <c r="Q65" s="80" t="s">
        <v>21</v>
      </c>
      <c r="R65" s="41"/>
      <c r="S65" s="41"/>
      <c r="T65" s="15" t="s">
        <v>110</v>
      </c>
      <c r="U65" s="15" t="s">
        <v>110</v>
      </c>
      <c r="V65" s="15" t="s">
        <v>110</v>
      </c>
      <c r="W65" s="18" t="s">
        <v>110</v>
      </c>
      <c r="X65" s="18" t="s">
        <v>110</v>
      </c>
      <c r="Y65" s="41"/>
      <c r="Z65" s="41"/>
      <c r="AA65" s="15" t="s">
        <v>110</v>
      </c>
      <c r="AB65" s="15" t="s">
        <v>110</v>
      </c>
      <c r="AC65" s="15" t="s">
        <v>110</v>
      </c>
      <c r="AD65" s="15" t="s">
        <v>110</v>
      </c>
      <c r="AE65" s="15" t="s">
        <v>110</v>
      </c>
      <c r="AF65" s="41"/>
      <c r="AG65" s="41"/>
      <c r="AH65" s="66">
        <v>8</v>
      </c>
      <c r="AI65" s="66">
        <v>8</v>
      </c>
      <c r="AJ65" s="18">
        <v>8</v>
      </c>
      <c r="AK65" s="118">
        <v>0</v>
      </c>
      <c r="AL65" s="118">
        <v>0</v>
      </c>
      <c r="AM65" s="59"/>
      <c r="AN65" s="67">
        <f t="shared" si="17"/>
        <v>176</v>
      </c>
      <c r="AO65" s="4">
        <f>SUM(I65:AM65)</f>
        <v>32</v>
      </c>
      <c r="AP65" s="4">
        <f>AO65-AN65</f>
        <v>-144</v>
      </c>
      <c r="AQ65" s="22"/>
      <c r="AR65" s="65">
        <f>A65</f>
        <v>60</v>
      </c>
      <c r="AS65" s="38" t="str">
        <f>B65</f>
        <v>Nikola Janković</v>
      </c>
      <c r="AT65" s="38" t="str">
        <f>C65</f>
        <v>Magacin</v>
      </c>
      <c r="AU65" s="76">
        <v>23</v>
      </c>
      <c r="AV65" s="20"/>
      <c r="AW65" s="22"/>
      <c r="AX65" s="22"/>
      <c r="AY65" s="36">
        <f>COUNTIF(K65:AM65,"bo")</f>
        <v>10</v>
      </c>
      <c r="AZ65" s="36"/>
      <c r="BA65" s="36">
        <f>(COUNTIF(K65:AM65,"go")*8+COUNTIF(K65:AM65,"sd")*8)/8</f>
        <v>2</v>
      </c>
      <c r="BB65" s="22"/>
      <c r="BC65" s="23"/>
    </row>
    <row r="66" spans="1:55" x14ac:dyDescent="0.3">
      <c r="R66">
        <f>SUM(R6:R65)</f>
        <v>2</v>
      </c>
      <c r="S66">
        <f>SUM(S6:S65)</f>
        <v>2</v>
      </c>
      <c r="Y66">
        <f>SUM(Y6:Y65)</f>
        <v>3.5</v>
      </c>
      <c r="Z66">
        <f>SUM(Z6:Z65)</f>
        <v>7</v>
      </c>
      <c r="AF66">
        <f>SUM(AF6:AF65)</f>
        <v>29</v>
      </c>
      <c r="AG66">
        <f>SUM(AG6:AG65)</f>
        <v>1</v>
      </c>
      <c r="AM66">
        <f>SUM(AM6:AM65)</f>
        <v>68</v>
      </c>
    </row>
    <row r="68" spans="1:55" s="14" customFormat="1" x14ac:dyDescent="0.3">
      <c r="A68" s="53"/>
      <c r="B68" s="17"/>
      <c r="C68" s="17"/>
      <c r="D68" s="17"/>
      <c r="E68" s="16"/>
      <c r="F68" s="54"/>
      <c r="G68" s="16"/>
      <c r="H68" s="16"/>
      <c r="I68" s="45"/>
      <c r="J68" s="4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f>SUM(U6:U58)</f>
        <v>408</v>
      </c>
      <c r="V68" s="16">
        <f>SUM(V6:V58)</f>
        <v>397</v>
      </c>
      <c r="W68" s="45"/>
      <c r="X68" s="45"/>
      <c r="Y68" s="16"/>
      <c r="Z68" s="16"/>
      <c r="AA68" s="16"/>
      <c r="AB68" s="16">
        <f>SUM(AB6:AB58)</f>
        <v>345</v>
      </c>
      <c r="AC68" s="16">
        <f>SUM(AC6:AC58)</f>
        <v>407</v>
      </c>
      <c r="AD68" s="45"/>
      <c r="AE68" s="45"/>
      <c r="AF68" s="16"/>
      <c r="AG68" s="16"/>
      <c r="AH68" s="16"/>
      <c r="AI68" s="16">
        <f>SUM(AI6:AI58)</f>
        <v>383</v>
      </c>
      <c r="AJ68" s="16">
        <f>SUM(AJ6:AJ58)</f>
        <v>400</v>
      </c>
      <c r="AK68" s="55"/>
      <c r="AL68" s="55"/>
      <c r="AM68" s="45"/>
      <c r="AN68" s="56"/>
      <c r="AO68" s="57"/>
      <c r="AP68" s="34"/>
      <c r="AR68" s="46"/>
      <c r="AS68" s="47"/>
      <c r="AU68" s="44"/>
    </row>
    <row r="69" spans="1:55" s="14" customFormat="1" x14ac:dyDescent="0.3">
      <c r="A69" s="53"/>
      <c r="B69" s="17"/>
      <c r="C69" s="17"/>
      <c r="D69" s="17"/>
      <c r="E69" s="16"/>
      <c r="F69" s="54"/>
      <c r="G69" s="16"/>
      <c r="H69" t="s">
        <v>169</v>
      </c>
      <c r="I69" s="45">
        <f t="shared" ref="I69:O69" si="24">COUNTA(I13:I65)</f>
        <v>0</v>
      </c>
      <c r="J69" s="45">
        <f t="shared" si="24"/>
        <v>0</v>
      </c>
      <c r="K69" s="45">
        <f t="shared" si="24"/>
        <v>0</v>
      </c>
      <c r="L69" s="45">
        <f t="shared" si="24"/>
        <v>0</v>
      </c>
      <c r="M69" s="45">
        <f t="shared" si="24"/>
        <v>9</v>
      </c>
      <c r="N69" s="45">
        <f t="shared" si="24"/>
        <v>1</v>
      </c>
      <c r="O69" s="45">
        <f t="shared" si="24"/>
        <v>1</v>
      </c>
      <c r="P69" s="45">
        <f>COUNTA(P13:P59)</f>
        <v>46</v>
      </c>
      <c r="Q69" s="45">
        <f>COUNTA(Q13:Q59)</f>
        <v>46</v>
      </c>
      <c r="R69" s="45">
        <f>COUNTA(R13:R65)</f>
        <v>2</v>
      </c>
      <c r="S69" s="45">
        <f>COUNTA(S13:S65)</f>
        <v>1</v>
      </c>
      <c r="T69" s="45">
        <f>COUNTA(T13:T58)</f>
        <v>46</v>
      </c>
      <c r="U69" s="45">
        <v>46</v>
      </c>
      <c r="V69" s="45">
        <v>46</v>
      </c>
      <c r="W69" s="45">
        <v>46</v>
      </c>
      <c r="X69" s="45">
        <v>46</v>
      </c>
      <c r="Y69" s="45">
        <f>COUNTA(Y13:Y65)</f>
        <v>2</v>
      </c>
      <c r="Z69" s="45">
        <f>COUNTA(Z13:Z65)</f>
        <v>2</v>
      </c>
      <c r="AA69" s="45">
        <v>45</v>
      </c>
      <c r="AB69" s="45">
        <v>45</v>
      </c>
      <c r="AC69" s="45">
        <v>45</v>
      </c>
      <c r="AD69" s="45">
        <v>45</v>
      </c>
      <c r="AE69" s="45">
        <v>45</v>
      </c>
      <c r="AF69" s="45">
        <f>COUNTA(AF13:AF65)</f>
        <v>6</v>
      </c>
      <c r="AG69" s="45">
        <f>COUNTA(AG13:AG65)</f>
        <v>1</v>
      </c>
      <c r="AH69" s="45">
        <v>45</v>
      </c>
      <c r="AI69" s="45">
        <v>45</v>
      </c>
      <c r="AJ69" s="45">
        <v>45</v>
      </c>
      <c r="AK69" s="45">
        <v>45</v>
      </c>
      <c r="AL69" s="45">
        <v>45</v>
      </c>
      <c r="AM69" s="45">
        <f>COUNTA(AM13:AM65)</f>
        <v>10</v>
      </c>
      <c r="AN69" s="56"/>
      <c r="AO69" s="57"/>
      <c r="AP69" s="34"/>
      <c r="AR69" s="46"/>
      <c r="AS69" s="47"/>
      <c r="AU69" s="44"/>
    </row>
    <row r="70" spans="1:55" x14ac:dyDescent="0.3">
      <c r="A70" s="2"/>
      <c r="B70" s="1"/>
      <c r="C70" s="1"/>
      <c r="D70" s="1"/>
      <c r="E70" s="3"/>
      <c r="F70" s="3"/>
      <c r="G70" s="3"/>
      <c r="H70" t="s">
        <v>170</v>
      </c>
      <c r="I70">
        <f t="shared" ref="I70:AM70" si="25">SUM(I13:I58)</f>
        <v>0</v>
      </c>
      <c r="J70">
        <f t="shared" si="25"/>
        <v>0</v>
      </c>
      <c r="K70">
        <f t="shared" si="25"/>
        <v>0</v>
      </c>
      <c r="L70">
        <f t="shared" si="25"/>
        <v>0</v>
      </c>
      <c r="M70">
        <f t="shared" si="25"/>
        <v>40</v>
      </c>
      <c r="N70">
        <f t="shared" si="25"/>
        <v>0</v>
      </c>
      <c r="O70">
        <f t="shared" si="25"/>
        <v>0</v>
      </c>
      <c r="P70">
        <f t="shared" si="25"/>
        <v>0</v>
      </c>
      <c r="Q70">
        <f t="shared" si="25"/>
        <v>0</v>
      </c>
      <c r="T70">
        <f>SUM(T13:T59)</f>
        <v>344</v>
      </c>
      <c r="U70">
        <f>SUM(U13:U59)</f>
        <v>352</v>
      </c>
      <c r="V70">
        <f>SUM(V13:V59)</f>
        <v>341</v>
      </c>
      <c r="W70">
        <f>SUM(W13:W59)</f>
        <v>344</v>
      </c>
      <c r="X70">
        <f>SUM(X13:X59)</f>
        <v>306</v>
      </c>
      <c r="AA70">
        <f>SUM(AA13:AA59)</f>
        <v>344</v>
      </c>
      <c r="AB70">
        <f>SUM(AB13:AB59)</f>
        <v>305</v>
      </c>
      <c r="AC70">
        <f>SUM(AC13:AC59)</f>
        <v>359</v>
      </c>
      <c r="AD70">
        <f>SUM(AD13:AD59)</f>
        <v>360</v>
      </c>
      <c r="AE70">
        <f>SUM(AE13:AE59)</f>
        <v>337</v>
      </c>
      <c r="AH70">
        <f>SUM(AH13:AH59)</f>
        <v>344</v>
      </c>
      <c r="AI70">
        <f>SUM(AI13:AI59)</f>
        <v>335</v>
      </c>
      <c r="AJ70">
        <f>SUM(AJ13:AJ59)</f>
        <v>352</v>
      </c>
      <c r="AK70">
        <f>SUM(AK13:AK59)</f>
        <v>317.5</v>
      </c>
      <c r="AL70">
        <f>SUM(AL13:AL59)</f>
        <v>328</v>
      </c>
      <c r="AM70">
        <f t="shared" si="25"/>
        <v>40</v>
      </c>
      <c r="AO70" s="51"/>
    </row>
    <row r="71" spans="1:55" x14ac:dyDescent="0.3">
      <c r="A71" s="2"/>
      <c r="B71" s="1"/>
      <c r="C71" s="1"/>
      <c r="D71" s="1"/>
      <c r="E71" s="3"/>
      <c r="F71" s="3"/>
      <c r="G71" s="3"/>
      <c r="H71" s="3" t="s">
        <v>171</v>
      </c>
      <c r="I71" s="1">
        <f>COUNTIF(I13:I58,"bo")</f>
        <v>0</v>
      </c>
      <c r="J71" s="1">
        <f t="shared" ref="J71:AM71" si="26">COUNTIF(J13:J58,"bo")</f>
        <v>0</v>
      </c>
      <c r="K71" s="1">
        <f t="shared" si="26"/>
        <v>0</v>
      </c>
      <c r="L71" s="1">
        <f t="shared" si="26"/>
        <v>0</v>
      </c>
      <c r="M71" s="1">
        <f t="shared" si="26"/>
        <v>0</v>
      </c>
      <c r="N71" s="1">
        <f t="shared" si="26"/>
        <v>0</v>
      </c>
      <c r="O71" s="1">
        <f t="shared" si="26"/>
        <v>0</v>
      </c>
      <c r="P71" s="1">
        <f t="shared" si="26"/>
        <v>0</v>
      </c>
      <c r="Q71" s="1">
        <f t="shared" si="26"/>
        <v>0</v>
      </c>
      <c r="R71" s="1">
        <f t="shared" si="26"/>
        <v>0</v>
      </c>
      <c r="S71" s="1">
        <f t="shared" si="26"/>
        <v>0</v>
      </c>
      <c r="T71" s="1">
        <f t="shared" si="26"/>
        <v>3</v>
      </c>
      <c r="U71" s="1">
        <f t="shared" si="26"/>
        <v>2</v>
      </c>
      <c r="V71" s="1">
        <f t="shared" si="26"/>
        <v>3</v>
      </c>
      <c r="W71" s="1">
        <f t="shared" si="26"/>
        <v>3</v>
      </c>
      <c r="X71" s="1">
        <f t="shared" si="26"/>
        <v>1</v>
      </c>
      <c r="Y71" s="1">
        <f t="shared" si="26"/>
        <v>0</v>
      </c>
      <c r="Z71" s="1">
        <f t="shared" si="26"/>
        <v>0</v>
      </c>
      <c r="AA71" s="1">
        <f t="shared" si="26"/>
        <v>1</v>
      </c>
      <c r="AB71" s="1">
        <f t="shared" si="26"/>
        <v>0</v>
      </c>
      <c r="AC71" s="1">
        <f t="shared" si="26"/>
        <v>0</v>
      </c>
      <c r="AD71" s="1">
        <f t="shared" si="26"/>
        <v>0</v>
      </c>
      <c r="AE71" s="1">
        <f t="shared" si="26"/>
        <v>0</v>
      </c>
      <c r="AF71" s="1">
        <f t="shared" si="26"/>
        <v>0</v>
      </c>
      <c r="AG71" s="1">
        <f t="shared" si="26"/>
        <v>0</v>
      </c>
      <c r="AH71" s="1">
        <f>COUNTIF(AH13:AH58,"bo")</f>
        <v>1</v>
      </c>
      <c r="AI71" s="1">
        <f>COUNTIF(AI13:AI58,"bo")</f>
        <v>1</v>
      </c>
      <c r="AJ71" s="1">
        <f>COUNTIF(AJ13:AJ58,"bo")</f>
        <v>1</v>
      </c>
      <c r="AK71" s="1">
        <f>COUNTIF(AK13:AK58,"bo")</f>
        <v>1</v>
      </c>
      <c r="AL71" s="1">
        <f t="shared" si="26"/>
        <v>1</v>
      </c>
      <c r="AM71" s="1">
        <f t="shared" si="26"/>
        <v>0</v>
      </c>
      <c r="AV71" s="4">
        <f>SUM(AV6:AV54)</f>
        <v>0</v>
      </c>
      <c r="AW71" s="4">
        <f>SUM(AW6:AW54)</f>
        <v>0</v>
      </c>
      <c r="AX71" s="4"/>
      <c r="AY71" s="4">
        <f>SUM(AY6:AY54)</f>
        <v>26</v>
      </c>
      <c r="AZ71" s="4"/>
      <c r="BA71" s="4">
        <f>SUM(BA6:BA54)</f>
        <v>82</v>
      </c>
    </row>
    <row r="72" spans="1:55" x14ac:dyDescent="0.3">
      <c r="A72" s="2"/>
      <c r="B72" s="1"/>
      <c r="C72" s="1"/>
      <c r="D72" s="1"/>
      <c r="E72" s="3"/>
      <c r="F72" s="3"/>
      <c r="G72" s="3"/>
      <c r="H72" s="3" t="s">
        <v>172</v>
      </c>
      <c r="I72" s="1">
        <f t="shared" ref="I72:AM72" si="27">COUNTIF(I6:I58,"sd")+COUNTIF(I6:I58,"ks")+COUNTIF(I6:I58,"go")</f>
        <v>0</v>
      </c>
      <c r="J72" s="1">
        <f t="shared" si="27"/>
        <v>0</v>
      </c>
      <c r="K72" s="1">
        <f t="shared" si="27"/>
        <v>0</v>
      </c>
      <c r="L72" s="1">
        <f t="shared" si="27"/>
        <v>0</v>
      </c>
      <c r="M72" s="1">
        <f t="shared" si="27"/>
        <v>0</v>
      </c>
      <c r="N72" s="1">
        <f t="shared" si="27"/>
        <v>0</v>
      </c>
      <c r="O72" s="1">
        <f t="shared" si="27"/>
        <v>0</v>
      </c>
      <c r="P72" s="1">
        <f t="shared" ref="P72:AL72" si="28">COUNTIF(P13:P58,"sd")+COUNTIF(P13:P58,"ks")+COUNTIF(P13:P58,"go")</f>
        <v>46</v>
      </c>
      <c r="Q72" s="1">
        <f t="shared" si="28"/>
        <v>46</v>
      </c>
      <c r="R72" s="1">
        <f t="shared" si="28"/>
        <v>0</v>
      </c>
      <c r="S72" s="1">
        <f t="shared" si="28"/>
        <v>0</v>
      </c>
      <c r="T72" s="1">
        <f t="shared" si="28"/>
        <v>0</v>
      </c>
      <c r="U72" s="1">
        <f t="shared" si="28"/>
        <v>0</v>
      </c>
      <c r="V72" s="1">
        <f t="shared" si="28"/>
        <v>0</v>
      </c>
      <c r="W72" s="1">
        <f t="shared" si="28"/>
        <v>0</v>
      </c>
      <c r="X72" s="1">
        <f t="shared" si="28"/>
        <v>0</v>
      </c>
      <c r="Y72" s="1">
        <f t="shared" si="28"/>
        <v>0</v>
      </c>
      <c r="Z72" s="1">
        <f t="shared" si="28"/>
        <v>0</v>
      </c>
      <c r="AA72" s="1">
        <f t="shared" si="28"/>
        <v>1</v>
      </c>
      <c r="AB72" s="1">
        <f t="shared" si="28"/>
        <v>7</v>
      </c>
      <c r="AC72" s="1">
        <f t="shared" si="28"/>
        <v>0</v>
      </c>
      <c r="AD72" s="1">
        <f t="shared" si="28"/>
        <v>0</v>
      </c>
      <c r="AE72" s="1">
        <f t="shared" si="28"/>
        <v>1</v>
      </c>
      <c r="AF72" s="1">
        <f t="shared" si="28"/>
        <v>0</v>
      </c>
      <c r="AG72" s="1">
        <f t="shared" si="28"/>
        <v>0</v>
      </c>
      <c r="AH72" s="1">
        <f t="shared" si="28"/>
        <v>0</v>
      </c>
      <c r="AI72" s="1">
        <f t="shared" si="28"/>
        <v>1</v>
      </c>
      <c r="AJ72" s="1">
        <f t="shared" si="28"/>
        <v>0</v>
      </c>
      <c r="AK72" s="1">
        <f t="shared" si="28"/>
        <v>1</v>
      </c>
      <c r="AL72" s="1">
        <f t="shared" si="28"/>
        <v>1</v>
      </c>
      <c r="AM72" s="1">
        <f t="shared" si="27"/>
        <v>0</v>
      </c>
    </row>
    <row r="73" spans="1:55" x14ac:dyDescent="0.3">
      <c r="A73" s="2"/>
      <c r="B73" s="5" t="s">
        <v>173</v>
      </c>
      <c r="C73" s="2"/>
      <c r="D73" s="2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55" x14ac:dyDescent="0.3">
      <c r="A74" s="2"/>
      <c r="B74" s="285" t="s">
        <v>174</v>
      </c>
      <c r="C74" s="285"/>
      <c r="D74" s="3"/>
      <c r="E74" s="3"/>
      <c r="F74" s="3"/>
      <c r="G74" s="3"/>
      <c r="H74" s="3"/>
      <c r="I74" s="2">
        <f t="shared" ref="I74:AM74" si="29">I5</f>
        <v>1</v>
      </c>
      <c r="J74" s="2">
        <f t="shared" si="29"/>
        <v>2</v>
      </c>
      <c r="K74" s="2">
        <f t="shared" si="29"/>
        <v>3</v>
      </c>
      <c r="L74" s="2">
        <f t="shared" si="29"/>
        <v>4</v>
      </c>
      <c r="M74" s="2">
        <f t="shared" si="29"/>
        <v>5</v>
      </c>
      <c r="N74" s="2">
        <f t="shared" si="29"/>
        <v>6</v>
      </c>
      <c r="O74" s="2">
        <f t="shared" si="29"/>
        <v>7</v>
      </c>
      <c r="P74" s="2">
        <f t="shared" si="29"/>
        <v>8</v>
      </c>
      <c r="Q74" s="2">
        <f t="shared" si="29"/>
        <v>9</v>
      </c>
      <c r="R74" s="2">
        <f t="shared" si="29"/>
        <v>10</v>
      </c>
      <c r="S74" s="2">
        <f t="shared" si="29"/>
        <v>11</v>
      </c>
      <c r="T74" s="2">
        <f t="shared" si="29"/>
        <v>12</v>
      </c>
      <c r="U74" s="2">
        <f t="shared" si="29"/>
        <v>13</v>
      </c>
      <c r="V74" s="2">
        <f t="shared" si="29"/>
        <v>14</v>
      </c>
      <c r="W74" s="2">
        <f t="shared" si="29"/>
        <v>15</v>
      </c>
      <c r="X74" s="2">
        <f t="shared" si="29"/>
        <v>16</v>
      </c>
      <c r="Y74" s="2">
        <f t="shared" si="29"/>
        <v>17</v>
      </c>
      <c r="Z74" s="2">
        <f>Z5</f>
        <v>18</v>
      </c>
      <c r="AA74" s="2">
        <f t="shared" si="29"/>
        <v>19</v>
      </c>
      <c r="AB74" s="2">
        <f t="shared" si="29"/>
        <v>20</v>
      </c>
      <c r="AC74" s="2">
        <f t="shared" si="29"/>
        <v>21</v>
      </c>
      <c r="AD74" s="2">
        <f t="shared" si="29"/>
        <v>22</v>
      </c>
      <c r="AE74" s="2">
        <f t="shared" si="29"/>
        <v>23</v>
      </c>
      <c r="AF74" s="2">
        <f t="shared" si="29"/>
        <v>24</v>
      </c>
      <c r="AG74" s="2">
        <f t="shared" si="29"/>
        <v>25</v>
      </c>
      <c r="AH74" s="2">
        <f t="shared" si="29"/>
        <v>26</v>
      </c>
      <c r="AI74" s="2">
        <f t="shared" si="29"/>
        <v>27</v>
      </c>
      <c r="AJ74" s="2">
        <f t="shared" si="29"/>
        <v>28</v>
      </c>
      <c r="AK74" s="2">
        <f t="shared" si="29"/>
        <v>29</v>
      </c>
      <c r="AL74" s="2">
        <f t="shared" si="29"/>
        <v>30</v>
      </c>
      <c r="AM74" s="2">
        <f t="shared" si="29"/>
        <v>31</v>
      </c>
      <c r="AN74" s="2"/>
      <c r="AO74" s="2"/>
      <c r="AP74" s="2"/>
      <c r="AV74" s="21" t="s">
        <v>23</v>
      </c>
      <c r="AW74" s="27"/>
      <c r="AZ74" s="21" t="s">
        <v>20</v>
      </c>
      <c r="BA74" s="27"/>
    </row>
    <row r="75" spans="1:55" x14ac:dyDescent="0.3">
      <c r="A75" s="2"/>
      <c r="B75" s="285" t="s">
        <v>175</v>
      </c>
      <c r="C75" s="285"/>
      <c r="D75" s="3"/>
      <c r="E75" s="3"/>
      <c r="F75" s="3"/>
      <c r="G75" s="3"/>
      <c r="H75" s="3" t="s">
        <v>176</v>
      </c>
      <c r="I75" s="2">
        <f>I71*8</f>
        <v>0</v>
      </c>
      <c r="J75" s="2">
        <f t="shared" ref="J75:AM75" si="30">J71*8</f>
        <v>0</v>
      </c>
      <c r="K75" s="2">
        <f t="shared" si="30"/>
        <v>0</v>
      </c>
      <c r="L75" s="2">
        <f t="shared" si="30"/>
        <v>0</v>
      </c>
      <c r="M75" s="2">
        <f t="shared" si="30"/>
        <v>0</v>
      </c>
      <c r="N75" s="2">
        <f t="shared" si="30"/>
        <v>0</v>
      </c>
      <c r="O75" s="2">
        <f t="shared" si="30"/>
        <v>0</v>
      </c>
      <c r="P75" s="2">
        <f t="shared" si="30"/>
        <v>0</v>
      </c>
      <c r="Q75" s="2">
        <f t="shared" si="30"/>
        <v>0</v>
      </c>
      <c r="R75" s="2">
        <f t="shared" si="30"/>
        <v>0</v>
      </c>
      <c r="S75" s="2">
        <f t="shared" si="30"/>
        <v>0</v>
      </c>
      <c r="T75" s="2">
        <f>T71*8</f>
        <v>24</v>
      </c>
      <c r="U75" s="2">
        <f t="shared" si="30"/>
        <v>16</v>
      </c>
      <c r="V75" s="2">
        <f t="shared" si="30"/>
        <v>24</v>
      </c>
      <c r="W75" s="2">
        <f t="shared" si="30"/>
        <v>24</v>
      </c>
      <c r="X75" s="2">
        <f t="shared" si="30"/>
        <v>8</v>
      </c>
      <c r="Y75" s="2">
        <f t="shared" si="30"/>
        <v>0</v>
      </c>
      <c r="Z75" s="2">
        <f t="shared" si="30"/>
        <v>0</v>
      </c>
      <c r="AA75" s="2">
        <f t="shared" si="30"/>
        <v>8</v>
      </c>
      <c r="AB75" s="2">
        <f t="shared" si="30"/>
        <v>0</v>
      </c>
      <c r="AC75" s="2">
        <f t="shared" si="30"/>
        <v>0</v>
      </c>
      <c r="AD75" s="2">
        <f t="shared" si="30"/>
        <v>0</v>
      </c>
      <c r="AE75" s="2">
        <f t="shared" si="30"/>
        <v>0</v>
      </c>
      <c r="AF75" s="2">
        <f t="shared" si="30"/>
        <v>0</v>
      </c>
      <c r="AG75" s="2">
        <f t="shared" si="30"/>
        <v>0</v>
      </c>
      <c r="AH75" s="2">
        <f t="shared" si="30"/>
        <v>8</v>
      </c>
      <c r="AI75" s="2">
        <f t="shared" si="30"/>
        <v>8</v>
      </c>
      <c r="AJ75" s="2">
        <f t="shared" si="30"/>
        <v>8</v>
      </c>
      <c r="AK75" s="2">
        <f t="shared" si="30"/>
        <v>8</v>
      </c>
      <c r="AL75" s="2">
        <f t="shared" si="30"/>
        <v>8</v>
      </c>
      <c r="AM75" s="2">
        <f t="shared" si="30"/>
        <v>0</v>
      </c>
      <c r="AN75" s="1"/>
      <c r="AO75" s="1"/>
      <c r="AP75" s="1"/>
      <c r="AV75" s="28"/>
      <c r="AW75" s="29"/>
      <c r="AZ75" s="28"/>
      <c r="BA75" s="29"/>
    </row>
    <row r="76" spans="1:55" x14ac:dyDescent="0.3">
      <c r="A76" s="2"/>
      <c r="B76" s="285" t="s">
        <v>177</v>
      </c>
      <c r="C76" s="285"/>
      <c r="D76" s="3"/>
      <c r="E76" s="3"/>
      <c r="F76" s="3"/>
      <c r="G76" s="3"/>
      <c r="H76" s="3" t="s">
        <v>178</v>
      </c>
      <c r="I76" s="52" t="e">
        <f>I75/I70</f>
        <v>#DIV/0!</v>
      </c>
      <c r="J76" s="52" t="e">
        <f t="shared" ref="J76:S76" si="31">J75/J70</f>
        <v>#DIV/0!</v>
      </c>
      <c r="K76" s="52" t="e">
        <f t="shared" si="31"/>
        <v>#DIV/0!</v>
      </c>
      <c r="L76" s="52" t="e">
        <f t="shared" si="31"/>
        <v>#DIV/0!</v>
      </c>
      <c r="M76" s="52">
        <f t="shared" si="31"/>
        <v>0</v>
      </c>
      <c r="N76" s="52" t="e">
        <f t="shared" si="31"/>
        <v>#DIV/0!</v>
      </c>
      <c r="O76" s="52" t="e">
        <f t="shared" si="31"/>
        <v>#DIV/0!</v>
      </c>
      <c r="P76" s="52" t="e">
        <f t="shared" si="31"/>
        <v>#DIV/0!</v>
      </c>
      <c r="Q76" s="52" t="e">
        <f t="shared" si="31"/>
        <v>#DIV/0!</v>
      </c>
      <c r="R76" s="52" t="e">
        <f t="shared" si="31"/>
        <v>#DIV/0!</v>
      </c>
      <c r="S76" s="52" t="e">
        <f t="shared" si="31"/>
        <v>#DIV/0!</v>
      </c>
      <c r="T76" s="52">
        <f>T75/(T69*8)</f>
        <v>6.5217391304347824E-2</v>
      </c>
      <c r="U76" s="52">
        <f t="shared" ref="U76:AM76" si="32">U75/(U69*8)</f>
        <v>4.3478260869565216E-2</v>
      </c>
      <c r="V76" s="52">
        <f t="shared" si="32"/>
        <v>6.5217391304347824E-2</v>
      </c>
      <c r="W76" s="52">
        <f t="shared" si="32"/>
        <v>6.5217391304347824E-2</v>
      </c>
      <c r="X76" s="52">
        <f>X75/(X69*8)</f>
        <v>2.1739130434782608E-2</v>
      </c>
      <c r="Y76" s="52">
        <f t="shared" si="32"/>
        <v>0</v>
      </c>
      <c r="Z76" s="52">
        <f t="shared" si="32"/>
        <v>0</v>
      </c>
      <c r="AA76" s="52">
        <f t="shared" si="32"/>
        <v>2.2222222222222223E-2</v>
      </c>
      <c r="AB76" s="52">
        <f t="shared" si="32"/>
        <v>0</v>
      </c>
      <c r="AC76" s="52">
        <f t="shared" si="32"/>
        <v>0</v>
      </c>
      <c r="AD76" s="52">
        <f t="shared" si="32"/>
        <v>0</v>
      </c>
      <c r="AE76" s="52">
        <f t="shared" si="32"/>
        <v>0</v>
      </c>
      <c r="AF76" s="52">
        <f t="shared" si="32"/>
        <v>0</v>
      </c>
      <c r="AG76" s="52">
        <f t="shared" si="32"/>
        <v>0</v>
      </c>
      <c r="AH76" s="52">
        <f>AH75/(AH69*8)</f>
        <v>2.2222222222222223E-2</v>
      </c>
      <c r="AI76" s="52">
        <f t="shared" si="32"/>
        <v>2.2222222222222223E-2</v>
      </c>
      <c r="AJ76" s="52">
        <f t="shared" si="32"/>
        <v>2.2222222222222223E-2</v>
      </c>
      <c r="AK76" s="52">
        <f t="shared" si="32"/>
        <v>2.2222222222222223E-2</v>
      </c>
      <c r="AL76" s="52">
        <f t="shared" si="32"/>
        <v>2.2222222222222223E-2</v>
      </c>
      <c r="AM76" s="52">
        <f t="shared" si="32"/>
        <v>0</v>
      </c>
      <c r="AN76" s="1"/>
      <c r="AO76" s="1"/>
      <c r="AP76" s="1"/>
      <c r="AV76" s="33" t="s">
        <v>179</v>
      </c>
      <c r="AW76" s="32"/>
      <c r="AZ76" s="33" t="s">
        <v>180</v>
      </c>
      <c r="BA76" s="32"/>
    </row>
    <row r="77" spans="1:55" x14ac:dyDescent="0.3">
      <c r="A77" s="1"/>
      <c r="B77" s="3" t="s">
        <v>181</v>
      </c>
      <c r="C77" s="3"/>
      <c r="D77" s="3"/>
      <c r="E77" s="1"/>
      <c r="F77" s="1"/>
      <c r="G77" s="1"/>
      <c r="H77" s="1"/>
      <c r="I77" s="1"/>
      <c r="J77" s="1"/>
      <c r="K77" s="286"/>
      <c r="L77" s="286"/>
      <c r="M77" s="1"/>
      <c r="N77" s="1"/>
      <c r="O77" s="1"/>
      <c r="P77" s="1"/>
      <c r="Q77" s="1"/>
      <c r="R77" s="286"/>
      <c r="S77" s="286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55" x14ac:dyDescent="0.3">
      <c r="A78" s="1"/>
      <c r="B78" s="3" t="s">
        <v>182</v>
      </c>
      <c r="C78" s="3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V78" s="21"/>
      <c r="AW78" s="26"/>
      <c r="AX78" s="27"/>
      <c r="AZ78" s="21"/>
      <c r="BA78" s="26"/>
      <c r="BB78" s="27"/>
    </row>
    <row r="79" spans="1:55" x14ac:dyDescent="0.3">
      <c r="A79" s="1"/>
      <c r="B79" s="3" t="s">
        <v>183</v>
      </c>
      <c r="C79" s="3"/>
      <c r="D79" s="3"/>
      <c r="E79" s="1"/>
      <c r="F79" s="1"/>
      <c r="G79" s="1"/>
      <c r="H79" s="1"/>
      <c r="I79" s="1"/>
      <c r="J79" s="1"/>
      <c r="K79" s="286"/>
      <c r="L79" s="286"/>
      <c r="M79" s="1"/>
      <c r="N79" s="1"/>
      <c r="O79" s="1"/>
      <c r="P79" s="1"/>
      <c r="Q79" s="1"/>
      <c r="R79" s="286"/>
      <c r="S79" s="286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V79" s="28"/>
      <c r="AX79" s="29"/>
      <c r="AZ79" s="28"/>
      <c r="BB79" s="29"/>
    </row>
    <row r="80" spans="1:55" x14ac:dyDescent="0.3">
      <c r="A80" s="1"/>
      <c r="B80" s="3" t="s">
        <v>184</v>
      </c>
      <c r="C80" s="3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V80" s="30"/>
      <c r="AW80" s="31"/>
      <c r="AX80" s="32"/>
      <c r="AZ80" s="30"/>
      <c r="BA80" s="31"/>
      <c r="BB80" s="32"/>
    </row>
    <row r="81" spans="1:42" x14ac:dyDescent="0.3">
      <c r="A81" s="1"/>
      <c r="B81" s="6" t="s">
        <v>185</v>
      </c>
      <c r="C81" s="7"/>
      <c r="D81" s="7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1"/>
      <c r="B82" s="8" t="s">
        <v>186</v>
      </c>
      <c r="C82" s="7"/>
      <c r="D82" s="7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1"/>
      <c r="B83" s="9" t="s">
        <v>187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2" x14ac:dyDescent="0.3">
      <c r="A84" s="1"/>
      <c r="B84" s="10" t="s">
        <v>188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42" x14ac:dyDescent="0.3">
      <c r="B85" s="13" t="s">
        <v>189</v>
      </c>
      <c r="AI85" s="1"/>
      <c r="AJ85" s="1"/>
      <c r="AK85" s="1"/>
      <c r="AL85" s="1"/>
      <c r="AM85" s="1"/>
      <c r="AN85" s="1"/>
      <c r="AO85" s="1"/>
    </row>
    <row r="86" spans="1:42" x14ac:dyDescent="0.3">
      <c r="B86" t="s">
        <v>190</v>
      </c>
      <c r="AO86" s="1"/>
      <c r="AP86" s="1"/>
    </row>
    <row r="87" spans="1:42" x14ac:dyDescent="0.3">
      <c r="AJ87" s="1"/>
      <c r="AK87" s="19"/>
      <c r="AL87" s="1"/>
      <c r="AM87" s="43"/>
      <c r="AN87" s="1"/>
      <c r="AO87" s="1"/>
      <c r="AP87" s="1"/>
    </row>
    <row r="88" spans="1:42" x14ac:dyDescent="0.3">
      <c r="AJ88" s="1"/>
      <c r="AK88" s="19"/>
      <c r="AL88" s="1"/>
      <c r="AM88" s="43"/>
      <c r="AP88" s="1"/>
    </row>
    <row r="89" spans="1:42" x14ac:dyDescent="0.3">
      <c r="AK89" s="14"/>
      <c r="AM89" s="14"/>
      <c r="AN89" s="11"/>
      <c r="AO89" s="11"/>
    </row>
  </sheetData>
  <mergeCells count="32">
    <mergeCell ref="E2:H2"/>
    <mergeCell ref="A3:A5"/>
    <mergeCell ref="B3:B5"/>
    <mergeCell ref="C3:C5"/>
    <mergeCell ref="E3:E5"/>
    <mergeCell ref="F3:F5"/>
    <mergeCell ref="G3:G5"/>
    <mergeCell ref="H3:H5"/>
    <mergeCell ref="B74:C74"/>
    <mergeCell ref="B75:C75"/>
    <mergeCell ref="AT3:AT5"/>
    <mergeCell ref="AU3:AU5"/>
    <mergeCell ref="AV3:AV5"/>
    <mergeCell ref="I3:AM4"/>
    <mergeCell ref="AN3:AN5"/>
    <mergeCell ref="AO3:AO5"/>
    <mergeCell ref="AP3:AP5"/>
    <mergeCell ref="AR3:AR5"/>
    <mergeCell ref="D3:D5"/>
    <mergeCell ref="AZ3:AZ5"/>
    <mergeCell ref="BA3:BA5"/>
    <mergeCell ref="AS3:AS5"/>
    <mergeCell ref="BB3:BB5"/>
    <mergeCell ref="BC3:BC5"/>
    <mergeCell ref="AW3:AW5"/>
    <mergeCell ref="AX3:AX5"/>
    <mergeCell ref="AY3:AY5"/>
    <mergeCell ref="B76:C76"/>
    <mergeCell ref="K77:L77"/>
    <mergeCell ref="R77:S77"/>
    <mergeCell ref="K79:L79"/>
    <mergeCell ref="R79:S7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4E64-22E4-4277-970F-D84F5F7ECB85}">
  <sheetPr codeName="Sheet2"/>
  <dimension ref="A1:AZ84"/>
  <sheetViews>
    <sheetView zoomScale="80" zoomScaleNormal="8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AL17" sqref="AL17"/>
    </sheetView>
  </sheetViews>
  <sheetFormatPr defaultRowHeight="14.4" x14ac:dyDescent="0.3"/>
  <cols>
    <col min="1" max="1" width="3.77734375" customWidth="1"/>
    <col min="2" max="2" width="20.77734375" customWidth="1"/>
    <col min="3" max="3" width="25.77734375" customWidth="1"/>
    <col min="4" max="4" width="12.77734375" customWidth="1"/>
    <col min="5" max="7" width="10.77734375" style="124" customWidth="1"/>
    <col min="8" max="8" width="15.77734375" customWidth="1"/>
    <col min="9" max="9" width="3.21875" style="124" bestFit="1" customWidth="1"/>
    <col min="10" max="10" width="4" style="124" bestFit="1" customWidth="1"/>
    <col min="11" max="11" width="6" style="124" bestFit="1" customWidth="1"/>
    <col min="12" max="13" width="4.21875" style="124" bestFit="1" customWidth="1"/>
    <col min="14" max="14" width="4" style="124" bestFit="1" customWidth="1"/>
    <col min="15" max="16" width="3.21875" style="124" bestFit="1" customWidth="1"/>
    <col min="17" max="17" width="4.21875" style="124" bestFit="1" customWidth="1"/>
    <col min="18" max="21" width="5.21875" style="124" bestFit="1" customWidth="1"/>
    <col min="22" max="31" width="6.77734375" style="124" bestFit="1" customWidth="1"/>
    <col min="32" max="32" width="7" style="124" bestFit="1" customWidth="1"/>
    <col min="33" max="36" width="6.77734375" style="124" bestFit="1" customWidth="1"/>
    <col min="42" max="42" width="17" bestFit="1" customWidth="1"/>
    <col min="43" max="43" width="25.44140625" bestFit="1" customWidth="1"/>
  </cols>
  <sheetData>
    <row r="1" spans="1:52" ht="15" thickBot="1" x14ac:dyDescent="0.35"/>
    <row r="2" spans="1:52" ht="15" thickBot="1" x14ac:dyDescent="0.35">
      <c r="E2" s="339" t="s">
        <v>191</v>
      </c>
      <c r="F2" s="340"/>
      <c r="G2" s="340"/>
      <c r="H2" s="341"/>
    </row>
    <row r="3" spans="1:52" ht="14.7" customHeight="1" x14ac:dyDescent="0.3">
      <c r="A3" s="314" t="s">
        <v>1</v>
      </c>
      <c r="B3" s="317" t="s">
        <v>2</v>
      </c>
      <c r="C3" s="320" t="s">
        <v>3</v>
      </c>
      <c r="D3" s="323" t="s">
        <v>4</v>
      </c>
      <c r="E3" s="355" t="s">
        <v>192</v>
      </c>
      <c r="F3" s="358" t="s">
        <v>193</v>
      </c>
      <c r="G3" s="358" t="s">
        <v>194</v>
      </c>
      <c r="H3" s="361" t="s">
        <v>8</v>
      </c>
      <c r="I3" s="353" t="s">
        <v>195</v>
      </c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300" t="s">
        <v>10</v>
      </c>
      <c r="AL3" s="303" t="s">
        <v>11</v>
      </c>
      <c r="AM3" s="300" t="s">
        <v>12</v>
      </c>
      <c r="AO3" s="307" t="s">
        <v>1</v>
      </c>
      <c r="AP3" s="309" t="s">
        <v>2</v>
      </c>
      <c r="AQ3" s="296" t="s">
        <v>3</v>
      </c>
      <c r="AR3" s="289" t="s">
        <v>13</v>
      </c>
      <c r="AS3" s="289" t="s">
        <v>12</v>
      </c>
      <c r="AT3" s="289" t="s">
        <v>14</v>
      </c>
      <c r="AU3" s="289" t="s">
        <v>15</v>
      </c>
      <c r="AV3" s="287" t="s">
        <v>16</v>
      </c>
      <c r="AW3" s="287" t="s">
        <v>16</v>
      </c>
      <c r="AX3" s="289" t="s">
        <v>17</v>
      </c>
      <c r="AY3" s="291" t="s">
        <v>17</v>
      </c>
      <c r="AZ3" s="293" t="s">
        <v>18</v>
      </c>
    </row>
    <row r="4" spans="1:52" ht="15" thickBot="1" x14ac:dyDescent="0.35">
      <c r="A4" s="315"/>
      <c r="B4" s="318"/>
      <c r="C4" s="321"/>
      <c r="D4" s="324"/>
      <c r="E4" s="356"/>
      <c r="F4" s="359"/>
      <c r="G4" s="359"/>
      <c r="H4" s="362"/>
      <c r="I4" s="354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299"/>
      <c r="AK4" s="301"/>
      <c r="AL4" s="304"/>
      <c r="AM4" s="301"/>
      <c r="AO4" s="308"/>
      <c r="AP4" s="310"/>
      <c r="AQ4" s="297"/>
      <c r="AR4" s="290"/>
      <c r="AS4" s="290"/>
      <c r="AT4" s="290"/>
      <c r="AU4" s="290"/>
      <c r="AV4" s="288"/>
      <c r="AW4" s="288"/>
      <c r="AX4" s="290"/>
      <c r="AY4" s="292"/>
      <c r="AZ4" s="294"/>
    </row>
    <row r="5" spans="1:52" ht="15" thickBot="1" x14ac:dyDescent="0.35">
      <c r="A5" s="316"/>
      <c r="B5" s="319"/>
      <c r="C5" s="322"/>
      <c r="D5" s="325"/>
      <c r="E5" s="357"/>
      <c r="F5" s="360"/>
      <c r="G5" s="360"/>
      <c r="H5" s="363"/>
      <c r="I5" s="196">
        <v>1</v>
      </c>
      <c r="J5" s="169">
        <v>2</v>
      </c>
      <c r="K5" s="169">
        <v>3</v>
      </c>
      <c r="L5" s="169">
        <v>4</v>
      </c>
      <c r="M5" s="169">
        <v>5</v>
      </c>
      <c r="N5" s="212">
        <v>6</v>
      </c>
      <c r="O5" s="168">
        <v>7</v>
      </c>
      <c r="P5" s="170">
        <v>8</v>
      </c>
      <c r="Q5" s="213">
        <v>9</v>
      </c>
      <c r="R5" s="169">
        <v>10</v>
      </c>
      <c r="S5" s="169">
        <v>11</v>
      </c>
      <c r="T5" s="169">
        <v>12</v>
      </c>
      <c r="U5" s="212">
        <v>13</v>
      </c>
      <c r="V5" s="168">
        <v>14</v>
      </c>
      <c r="W5" s="170">
        <v>15</v>
      </c>
      <c r="X5" s="229">
        <v>16</v>
      </c>
      <c r="Y5" s="230">
        <v>17</v>
      </c>
      <c r="Z5" s="169">
        <v>18</v>
      </c>
      <c r="AA5" s="169">
        <v>19</v>
      </c>
      <c r="AB5" s="212">
        <v>20</v>
      </c>
      <c r="AC5" s="168">
        <v>21</v>
      </c>
      <c r="AD5" s="170">
        <v>22</v>
      </c>
      <c r="AE5" s="213">
        <v>23</v>
      </c>
      <c r="AF5" s="169">
        <v>24</v>
      </c>
      <c r="AG5" s="169">
        <v>25</v>
      </c>
      <c r="AH5" s="169">
        <v>26</v>
      </c>
      <c r="AI5" s="212">
        <v>27</v>
      </c>
      <c r="AJ5" s="216">
        <v>28</v>
      </c>
      <c r="AK5" s="302"/>
      <c r="AL5" s="305"/>
      <c r="AM5" s="306"/>
      <c r="AO5" s="308"/>
      <c r="AP5" s="310"/>
      <c r="AQ5" s="297"/>
      <c r="AR5" s="290"/>
      <c r="AS5" s="290"/>
      <c r="AT5" s="290"/>
      <c r="AU5" s="290"/>
      <c r="AV5" s="288"/>
      <c r="AW5" s="288"/>
      <c r="AX5" s="290"/>
      <c r="AY5" s="292"/>
      <c r="AZ5" s="295"/>
    </row>
    <row r="6" spans="1:52" ht="15" thickBot="1" x14ac:dyDescent="0.35">
      <c r="A6" s="134">
        <v>1</v>
      </c>
      <c r="B6" s="178" t="s">
        <v>19</v>
      </c>
      <c r="C6" s="179" t="s">
        <v>20</v>
      </c>
      <c r="D6" s="141" t="s">
        <v>20</v>
      </c>
      <c r="E6" s="221">
        <v>2</v>
      </c>
      <c r="F6" s="153">
        <v>2</v>
      </c>
      <c r="G6" s="154">
        <v>2</v>
      </c>
      <c r="H6" s="147">
        <f>G6-E6-F6+(1*1.666)</f>
        <v>-0.33400000000000007</v>
      </c>
      <c r="I6" s="187"/>
      <c r="J6" s="191">
        <v>8</v>
      </c>
      <c r="K6" s="167">
        <v>8</v>
      </c>
      <c r="L6" s="167">
        <v>8</v>
      </c>
      <c r="M6" s="167">
        <v>8</v>
      </c>
      <c r="N6" s="200">
        <v>8</v>
      </c>
      <c r="O6" s="214"/>
      <c r="P6" s="215"/>
      <c r="Q6" s="167">
        <v>8</v>
      </c>
      <c r="R6" s="200">
        <v>8</v>
      </c>
      <c r="S6" s="200">
        <v>8</v>
      </c>
      <c r="T6" s="200">
        <v>8</v>
      </c>
      <c r="U6" s="200">
        <v>8</v>
      </c>
      <c r="V6" s="166"/>
      <c r="W6" s="215"/>
      <c r="X6" s="223"/>
      <c r="Y6" s="224"/>
      <c r="Z6" s="200">
        <v>8</v>
      </c>
      <c r="AA6" s="200">
        <v>8</v>
      </c>
      <c r="AB6" s="200">
        <v>8</v>
      </c>
      <c r="AC6" s="166"/>
      <c r="AD6" s="215"/>
      <c r="AE6" s="200">
        <v>8</v>
      </c>
      <c r="AF6" s="200">
        <v>8</v>
      </c>
      <c r="AG6" s="200">
        <v>8</v>
      </c>
      <c r="AH6" s="200">
        <v>8</v>
      </c>
      <c r="AI6" s="200">
        <v>8</v>
      </c>
      <c r="AJ6" s="217"/>
      <c r="AK6" s="156">
        <f t="shared" ref="AK6:AK37" si="0">22*8</f>
        <v>176</v>
      </c>
      <c r="AL6" s="128">
        <f t="shared" ref="AL6:AL37" si="1">SUM(I6:AJ6)</f>
        <v>144</v>
      </c>
      <c r="AM6" s="130">
        <f t="shared" ref="AM6:AM37" si="2">AL6-AK6</f>
        <v>-32</v>
      </c>
      <c r="AO6" s="134">
        <f t="shared" ref="AO6:AQ11" si="3">A6</f>
        <v>1</v>
      </c>
      <c r="AP6" s="107" t="str">
        <f t="shared" si="3"/>
        <v>Pejački Vladan</v>
      </c>
      <c r="AQ6" s="77" t="str">
        <f t="shared" si="3"/>
        <v>Direktor</v>
      </c>
      <c r="AR6" s="99">
        <v>23</v>
      </c>
      <c r="AS6" s="100"/>
      <c r="AT6" s="100"/>
      <c r="AU6" s="100"/>
      <c r="AV6" s="35">
        <f>COUNTIF(K6:AJ6,"bo")</f>
        <v>0</v>
      </c>
      <c r="AW6" s="101"/>
      <c r="AX6" s="35">
        <f>(COUNTIF(K6:AJ6,"go")*8+COUNTIF(K6:AJ6,"sd")*8)/8</f>
        <v>0</v>
      </c>
      <c r="AY6" s="102"/>
      <c r="AZ6" s="25"/>
    </row>
    <row r="7" spans="1:52" ht="15" thickBot="1" x14ac:dyDescent="0.35">
      <c r="A7" s="135">
        <v>2</v>
      </c>
      <c r="B7" s="126" t="s">
        <v>22</v>
      </c>
      <c r="C7" s="142" t="s">
        <v>23</v>
      </c>
      <c r="D7" s="142" t="s">
        <v>24</v>
      </c>
      <c r="E7" s="148">
        <v>6</v>
      </c>
      <c r="F7" s="151">
        <v>0</v>
      </c>
      <c r="G7" s="148">
        <v>20</v>
      </c>
      <c r="H7" s="147">
        <f t="shared" ref="H7:H63" si="4">G7-E7-F7+(1*1.666)</f>
        <v>15.666</v>
      </c>
      <c r="I7" s="188"/>
      <c r="J7" s="191">
        <v>8</v>
      </c>
      <c r="K7" s="167">
        <v>8</v>
      </c>
      <c r="L7" s="167">
        <v>8</v>
      </c>
      <c r="M7" s="167">
        <v>8</v>
      </c>
      <c r="N7" s="200">
        <v>8</v>
      </c>
      <c r="O7" s="197"/>
      <c r="P7" s="163"/>
      <c r="Q7" s="167">
        <v>8</v>
      </c>
      <c r="R7" s="200">
        <v>8</v>
      </c>
      <c r="S7" s="200">
        <v>8</v>
      </c>
      <c r="T7" s="200">
        <v>8</v>
      </c>
      <c r="U7" s="200">
        <v>8</v>
      </c>
      <c r="V7" s="161">
        <v>8</v>
      </c>
      <c r="W7" s="163"/>
      <c r="X7" s="225"/>
      <c r="Y7" s="226"/>
      <c r="Z7" s="200">
        <v>8</v>
      </c>
      <c r="AA7" s="200">
        <v>8</v>
      </c>
      <c r="AB7" s="200">
        <v>8</v>
      </c>
      <c r="AC7" s="161"/>
      <c r="AD7" s="163"/>
      <c r="AE7" s="200">
        <v>8</v>
      </c>
      <c r="AF7" s="200">
        <v>8</v>
      </c>
      <c r="AG7" s="200">
        <v>8</v>
      </c>
      <c r="AH7" s="200">
        <v>8</v>
      </c>
      <c r="AI7" s="200">
        <v>8</v>
      </c>
      <c r="AJ7" s="209">
        <v>8</v>
      </c>
      <c r="AK7" s="157">
        <f t="shared" si="0"/>
        <v>176</v>
      </c>
      <c r="AL7" s="129">
        <f t="shared" si="1"/>
        <v>160</v>
      </c>
      <c r="AM7" s="130">
        <f t="shared" si="2"/>
        <v>-16</v>
      </c>
      <c r="AO7" s="135">
        <f t="shared" si="3"/>
        <v>2</v>
      </c>
      <c r="AP7" s="108" t="str">
        <f t="shared" si="3"/>
        <v>Nikola Rajić</v>
      </c>
      <c r="AQ7" s="38" t="str">
        <f t="shared" si="3"/>
        <v>Menadžer proizvodnje</v>
      </c>
      <c r="AR7" s="91">
        <v>23</v>
      </c>
      <c r="AS7" s="94"/>
      <c r="AT7" s="92"/>
      <c r="AU7" s="92"/>
      <c r="AV7" s="36">
        <f>COUNTIF(K7:AJ7,"bo")</f>
        <v>0</v>
      </c>
      <c r="AW7" s="93"/>
      <c r="AX7" s="36">
        <f>(COUNTIF(K7:AJ7,"go")*8+COUNTIF(K7:AJ7,"sd")*8)/8</f>
        <v>0</v>
      </c>
      <c r="AY7" s="94"/>
      <c r="AZ7" s="23"/>
    </row>
    <row r="8" spans="1:52" ht="15" thickBot="1" x14ac:dyDescent="0.35">
      <c r="A8" s="135">
        <v>3</v>
      </c>
      <c r="B8" s="126" t="s">
        <v>25</v>
      </c>
      <c r="C8" s="142" t="s">
        <v>26</v>
      </c>
      <c r="D8" s="142" t="s">
        <v>27</v>
      </c>
      <c r="E8" s="148">
        <v>12</v>
      </c>
      <c r="F8" s="151">
        <v>0</v>
      </c>
      <c r="G8" s="148">
        <v>16</v>
      </c>
      <c r="H8" s="147">
        <f>G8-E8-F8+(1*2)</f>
        <v>6</v>
      </c>
      <c r="I8" s="188"/>
      <c r="J8" s="191">
        <v>8</v>
      </c>
      <c r="K8" s="167">
        <v>8</v>
      </c>
      <c r="L8" s="167">
        <v>8</v>
      </c>
      <c r="M8" s="167">
        <v>8</v>
      </c>
      <c r="N8" s="200">
        <v>8</v>
      </c>
      <c r="O8" s="197"/>
      <c r="P8" s="163"/>
      <c r="Q8" s="167">
        <v>8</v>
      </c>
      <c r="R8" s="200">
        <v>8</v>
      </c>
      <c r="S8" s="200">
        <v>8</v>
      </c>
      <c r="T8" s="200">
        <v>8</v>
      </c>
      <c r="U8" s="200">
        <v>8</v>
      </c>
      <c r="V8" s="161"/>
      <c r="W8" s="163"/>
      <c r="X8" s="225"/>
      <c r="Y8" s="226"/>
      <c r="Z8" s="200">
        <v>8</v>
      </c>
      <c r="AA8" s="200">
        <v>8</v>
      </c>
      <c r="AB8" s="200">
        <v>8</v>
      </c>
      <c r="AC8" s="161"/>
      <c r="AD8" s="163"/>
      <c r="AE8" s="200">
        <v>8</v>
      </c>
      <c r="AF8" s="200">
        <v>8</v>
      </c>
      <c r="AG8" s="200">
        <v>8</v>
      </c>
      <c r="AH8" s="200">
        <v>8</v>
      </c>
      <c r="AI8" s="200">
        <v>8</v>
      </c>
      <c r="AJ8" s="209"/>
      <c r="AK8" s="157">
        <f t="shared" si="0"/>
        <v>176</v>
      </c>
      <c r="AL8" s="129">
        <f t="shared" si="1"/>
        <v>144</v>
      </c>
      <c r="AM8" s="130">
        <f t="shared" si="2"/>
        <v>-32</v>
      </c>
      <c r="AO8" s="135">
        <f t="shared" si="3"/>
        <v>3</v>
      </c>
      <c r="AP8" s="108" t="str">
        <f t="shared" si="3"/>
        <v>Milan Janković</v>
      </c>
      <c r="AQ8" s="38" t="str">
        <f t="shared" si="3"/>
        <v>Menadžer administracije</v>
      </c>
      <c r="AR8" s="91">
        <v>23</v>
      </c>
      <c r="AS8" s="92"/>
      <c r="AT8" s="92"/>
      <c r="AU8" s="92"/>
      <c r="AV8" s="36">
        <f>COUNTIF(K8:AJ8,"bo")</f>
        <v>0</v>
      </c>
      <c r="AW8" s="93"/>
      <c r="AX8" s="36">
        <f>(COUNTIF(K8:AJ8,"go")*8+COUNTIF(K8:AJ8,"sd")*8)/8</f>
        <v>0</v>
      </c>
      <c r="AY8" s="94"/>
      <c r="AZ8" s="23"/>
    </row>
    <row r="9" spans="1:52" ht="15" thickBot="1" x14ac:dyDescent="0.35">
      <c r="A9" s="135">
        <v>4</v>
      </c>
      <c r="B9" s="126" t="s">
        <v>28</v>
      </c>
      <c r="C9" s="142" t="s">
        <v>29</v>
      </c>
      <c r="D9" s="142" t="s">
        <v>30</v>
      </c>
      <c r="E9" s="148">
        <v>10</v>
      </c>
      <c r="F9" s="151">
        <v>0</v>
      </c>
      <c r="G9" s="148">
        <v>20</v>
      </c>
      <c r="H9" s="147">
        <f t="shared" si="4"/>
        <v>11.666</v>
      </c>
      <c r="I9" s="188"/>
      <c r="J9" s="191">
        <v>8</v>
      </c>
      <c r="K9" s="167">
        <v>8</v>
      </c>
      <c r="L9" s="167">
        <v>8</v>
      </c>
      <c r="M9" s="167">
        <v>8</v>
      </c>
      <c r="N9" s="200">
        <v>8</v>
      </c>
      <c r="O9" s="197"/>
      <c r="P9" s="163"/>
      <c r="Q9" s="167">
        <v>8</v>
      </c>
      <c r="R9" s="200">
        <v>8</v>
      </c>
      <c r="S9" s="200">
        <v>8</v>
      </c>
      <c r="T9" s="200">
        <v>8</v>
      </c>
      <c r="U9" s="200">
        <v>8</v>
      </c>
      <c r="V9" s="161"/>
      <c r="W9" s="163"/>
      <c r="X9" s="225"/>
      <c r="Y9" s="226"/>
      <c r="Z9" s="200">
        <v>8</v>
      </c>
      <c r="AA9" s="200">
        <v>8</v>
      </c>
      <c r="AB9" s="200">
        <v>8</v>
      </c>
      <c r="AC9" s="161"/>
      <c r="AD9" s="163"/>
      <c r="AE9" s="200">
        <v>8</v>
      </c>
      <c r="AF9" s="200">
        <v>8</v>
      </c>
      <c r="AG9" s="200">
        <v>8</v>
      </c>
      <c r="AH9" s="200">
        <v>8</v>
      </c>
      <c r="AI9" s="200">
        <v>8</v>
      </c>
      <c r="AJ9" s="209"/>
      <c r="AK9" s="157">
        <f t="shared" si="0"/>
        <v>176</v>
      </c>
      <c r="AL9" s="129">
        <f t="shared" si="1"/>
        <v>144</v>
      </c>
      <c r="AM9" s="130">
        <f t="shared" si="2"/>
        <v>-32</v>
      </c>
      <c r="AO9" s="135">
        <f t="shared" si="3"/>
        <v>4</v>
      </c>
      <c r="AP9" s="108" t="str">
        <f t="shared" si="3"/>
        <v>Jelena Miladinović</v>
      </c>
      <c r="AQ9" s="38" t="str">
        <f t="shared" si="3"/>
        <v>Administrativni asistent</v>
      </c>
      <c r="AR9" s="91">
        <v>23</v>
      </c>
      <c r="AS9" s="92"/>
      <c r="AT9" s="92"/>
      <c r="AU9" s="92"/>
      <c r="AV9" s="36">
        <f>COUNTIF(K9:AJ9,"bo")</f>
        <v>0</v>
      </c>
      <c r="AW9" s="93"/>
      <c r="AX9" s="36">
        <f>(COUNTIF(K9:AJ9,"go")*8+COUNTIF(K9:AJ9,"sd")*8)/8</f>
        <v>0</v>
      </c>
      <c r="AY9" s="94"/>
      <c r="AZ9" s="23"/>
    </row>
    <row r="10" spans="1:52" ht="15" thickBot="1" x14ac:dyDescent="0.35">
      <c r="A10" s="135">
        <v>5</v>
      </c>
      <c r="B10" s="127" t="s">
        <v>32</v>
      </c>
      <c r="C10" s="142" t="s">
        <v>29</v>
      </c>
      <c r="D10" s="142" t="s">
        <v>24</v>
      </c>
      <c r="E10" s="148">
        <v>16</v>
      </c>
      <c r="F10" s="151">
        <v>0</v>
      </c>
      <c r="G10" s="148">
        <v>20</v>
      </c>
      <c r="H10" s="147">
        <f t="shared" si="4"/>
        <v>5.6660000000000004</v>
      </c>
      <c r="I10" s="188"/>
      <c r="J10" s="191">
        <v>8</v>
      </c>
      <c r="K10" s="167">
        <v>8</v>
      </c>
      <c r="L10" s="167">
        <v>8</v>
      </c>
      <c r="M10" s="167">
        <v>8</v>
      </c>
      <c r="N10" s="200">
        <v>8</v>
      </c>
      <c r="O10" s="197"/>
      <c r="P10" s="163"/>
      <c r="Q10" s="167">
        <v>8</v>
      </c>
      <c r="R10" s="200">
        <v>8</v>
      </c>
      <c r="S10" s="200">
        <v>8</v>
      </c>
      <c r="T10" s="200">
        <v>8</v>
      </c>
      <c r="U10" s="200">
        <v>8</v>
      </c>
      <c r="V10" s="161"/>
      <c r="W10" s="163"/>
      <c r="X10" s="225"/>
      <c r="Y10" s="226"/>
      <c r="Z10" s="200">
        <v>8</v>
      </c>
      <c r="AA10" s="200">
        <v>8</v>
      </c>
      <c r="AB10" s="200">
        <v>8</v>
      </c>
      <c r="AC10" s="161"/>
      <c r="AD10" s="163"/>
      <c r="AE10" s="200">
        <v>8</v>
      </c>
      <c r="AF10" s="200">
        <v>8</v>
      </c>
      <c r="AG10" s="200">
        <v>8</v>
      </c>
      <c r="AH10" s="200">
        <v>8</v>
      </c>
      <c r="AI10" s="200">
        <v>8</v>
      </c>
      <c r="AJ10" s="209"/>
      <c r="AK10" s="157">
        <f t="shared" si="0"/>
        <v>176</v>
      </c>
      <c r="AL10" s="129">
        <f t="shared" si="1"/>
        <v>144</v>
      </c>
      <c r="AM10" s="130">
        <f t="shared" si="2"/>
        <v>-32</v>
      </c>
      <c r="AO10" s="135">
        <f t="shared" si="3"/>
        <v>5</v>
      </c>
      <c r="AP10" s="108" t="str">
        <f t="shared" si="3"/>
        <v>Jelena Pavlović</v>
      </c>
      <c r="AQ10" s="38" t="str">
        <f t="shared" si="3"/>
        <v>Administrativni asistent</v>
      </c>
      <c r="AR10" s="91">
        <v>18</v>
      </c>
      <c r="AS10" s="92"/>
      <c r="AT10" s="92"/>
      <c r="AU10" s="92"/>
      <c r="AV10" s="36">
        <v>4</v>
      </c>
      <c r="AW10" s="93" t="s">
        <v>33</v>
      </c>
      <c r="AX10" s="36">
        <v>1</v>
      </c>
      <c r="AY10" s="94" t="s">
        <v>34</v>
      </c>
      <c r="AZ10" s="23"/>
    </row>
    <row r="11" spans="1:52" ht="15" thickBot="1" x14ac:dyDescent="0.35">
      <c r="A11" s="135">
        <v>6</v>
      </c>
      <c r="B11" s="126" t="s">
        <v>35</v>
      </c>
      <c r="C11" s="142" t="s">
        <v>36</v>
      </c>
      <c r="D11" s="142" t="s">
        <v>37</v>
      </c>
      <c r="E11" s="148">
        <v>17</v>
      </c>
      <c r="F11" s="151">
        <v>0</v>
      </c>
      <c r="G11" s="148">
        <v>20</v>
      </c>
      <c r="H11" s="147">
        <f t="shared" si="4"/>
        <v>4.6660000000000004</v>
      </c>
      <c r="I11" s="188"/>
      <c r="J11" s="191">
        <v>8</v>
      </c>
      <c r="K11" s="167">
        <v>8</v>
      </c>
      <c r="L11" s="167">
        <v>8</v>
      </c>
      <c r="M11" s="167">
        <v>8</v>
      </c>
      <c r="N11" s="200">
        <v>8</v>
      </c>
      <c r="O11" s="197"/>
      <c r="P11" s="163"/>
      <c r="Q11" s="167">
        <v>8</v>
      </c>
      <c r="R11" s="200">
        <v>8</v>
      </c>
      <c r="S11" s="200">
        <v>8</v>
      </c>
      <c r="T11" s="200">
        <v>8</v>
      </c>
      <c r="U11" s="200">
        <v>8</v>
      </c>
      <c r="V11" s="161"/>
      <c r="W11" s="163"/>
      <c r="X11" s="225"/>
      <c r="Y11" s="226"/>
      <c r="Z11" s="200">
        <v>8</v>
      </c>
      <c r="AA11" s="200">
        <v>8</v>
      </c>
      <c r="AB11" s="200">
        <v>8</v>
      </c>
      <c r="AC11" s="161"/>
      <c r="AD11" s="163"/>
      <c r="AE11" s="200">
        <v>8</v>
      </c>
      <c r="AF11" s="200">
        <v>8</v>
      </c>
      <c r="AG11" s="200">
        <v>8</v>
      </c>
      <c r="AH11" s="200">
        <v>8</v>
      </c>
      <c r="AI11" s="200">
        <v>8</v>
      </c>
      <c r="AJ11" s="209"/>
      <c r="AK11" s="157">
        <f t="shared" si="0"/>
        <v>176</v>
      </c>
      <c r="AL11" s="129">
        <f t="shared" si="1"/>
        <v>144</v>
      </c>
      <c r="AM11" s="130">
        <f t="shared" si="2"/>
        <v>-32</v>
      </c>
      <c r="AO11" s="135">
        <f t="shared" si="3"/>
        <v>6</v>
      </c>
      <c r="AP11" s="108" t="str">
        <f t="shared" si="3"/>
        <v>Mirjana Stojmirović</v>
      </c>
      <c r="AQ11" s="38" t="str">
        <f t="shared" si="3"/>
        <v>Higijeničar</v>
      </c>
      <c r="AR11" s="91">
        <v>23</v>
      </c>
      <c r="AS11" s="92"/>
      <c r="AT11" s="92"/>
      <c r="AU11" s="92"/>
      <c r="AV11" s="36">
        <f>COUNTIF(K11:AJ11,"bo")</f>
        <v>0</v>
      </c>
      <c r="AW11" s="93"/>
      <c r="AX11" s="36">
        <f>(COUNTIF(K11:AJ11,"go")*8+COUNTIF(K11:AJ11,"sd")*8)/8</f>
        <v>0</v>
      </c>
      <c r="AY11" s="94"/>
      <c r="AZ11" s="23"/>
    </row>
    <row r="12" spans="1:52" ht="15" customHeight="1" thickBot="1" x14ac:dyDescent="0.35">
      <c r="A12" s="135">
        <v>7</v>
      </c>
      <c r="B12" s="126" t="s">
        <v>38</v>
      </c>
      <c r="C12" s="142" t="s">
        <v>39</v>
      </c>
      <c r="D12" s="142" t="s">
        <v>40</v>
      </c>
      <c r="E12" s="220">
        <v>14</v>
      </c>
      <c r="F12" s="151">
        <v>3</v>
      </c>
      <c r="G12" s="148">
        <v>8</v>
      </c>
      <c r="H12" s="147">
        <f>G12-E12-F12+(1*1.83)</f>
        <v>-7.17</v>
      </c>
      <c r="I12" s="188"/>
      <c r="J12" s="191">
        <v>8</v>
      </c>
      <c r="K12" s="167">
        <v>8</v>
      </c>
      <c r="L12" s="167">
        <v>8</v>
      </c>
      <c r="M12" s="167">
        <v>8</v>
      </c>
      <c r="N12" s="200">
        <v>8</v>
      </c>
      <c r="O12" s="197"/>
      <c r="P12" s="163"/>
      <c r="Q12" s="167">
        <v>8</v>
      </c>
      <c r="R12" s="200">
        <v>8</v>
      </c>
      <c r="S12" s="200">
        <v>8</v>
      </c>
      <c r="T12" s="200">
        <v>8</v>
      </c>
      <c r="U12" s="200">
        <v>8</v>
      </c>
      <c r="V12" s="161"/>
      <c r="W12" s="163"/>
      <c r="X12" s="225"/>
      <c r="Y12" s="226"/>
      <c r="Z12" s="200">
        <v>8</v>
      </c>
      <c r="AA12" s="200">
        <v>8</v>
      </c>
      <c r="AB12" s="200">
        <v>8</v>
      </c>
      <c r="AC12" s="161"/>
      <c r="AD12" s="163"/>
      <c r="AE12" s="200">
        <v>8</v>
      </c>
      <c r="AF12" s="200">
        <v>8</v>
      </c>
      <c r="AG12" s="200">
        <v>8</v>
      </c>
      <c r="AH12" s="200">
        <v>8</v>
      </c>
      <c r="AI12" s="200">
        <v>8</v>
      </c>
      <c r="AJ12" s="209"/>
      <c r="AK12" s="157">
        <f t="shared" si="0"/>
        <v>176</v>
      </c>
      <c r="AL12" s="129">
        <f t="shared" si="1"/>
        <v>144</v>
      </c>
      <c r="AM12" s="130">
        <f t="shared" si="2"/>
        <v>-32</v>
      </c>
      <c r="AO12" s="135">
        <v>7</v>
      </c>
      <c r="AP12" s="108" t="s">
        <v>38</v>
      </c>
      <c r="AQ12" s="38" t="s">
        <v>39</v>
      </c>
      <c r="AR12" s="91">
        <v>20</v>
      </c>
      <c r="AS12" s="92"/>
      <c r="AT12" s="92"/>
      <c r="AU12" s="92"/>
      <c r="AV12" s="36">
        <v>0</v>
      </c>
      <c r="AW12" s="93"/>
      <c r="AX12" s="36">
        <v>3</v>
      </c>
      <c r="AY12" s="94" t="s">
        <v>41</v>
      </c>
      <c r="AZ12" s="23"/>
    </row>
    <row r="13" spans="1:52" ht="14.25" customHeight="1" thickBot="1" x14ac:dyDescent="0.35">
      <c r="A13" s="135">
        <v>8</v>
      </c>
      <c r="B13" s="126" t="s">
        <v>42</v>
      </c>
      <c r="C13" s="142" t="s">
        <v>43</v>
      </c>
      <c r="D13" s="142" t="s">
        <v>44</v>
      </c>
      <c r="E13" s="148">
        <v>11</v>
      </c>
      <c r="F13" s="151">
        <v>0</v>
      </c>
      <c r="G13" s="148">
        <v>20</v>
      </c>
      <c r="H13" s="147">
        <f t="shared" si="4"/>
        <v>10.666</v>
      </c>
      <c r="I13" s="188">
        <v>1</v>
      </c>
      <c r="J13" s="192">
        <v>8</v>
      </c>
      <c r="K13" s="123">
        <v>8</v>
      </c>
      <c r="L13" s="123">
        <v>8</v>
      </c>
      <c r="M13" s="123">
        <v>8</v>
      </c>
      <c r="N13" s="201">
        <v>8</v>
      </c>
      <c r="O13" s="197"/>
      <c r="P13" s="163"/>
      <c r="Q13" s="193">
        <v>8</v>
      </c>
      <c r="R13" s="174">
        <v>8</v>
      </c>
      <c r="S13" s="174">
        <v>8</v>
      </c>
      <c r="T13" s="174">
        <v>8</v>
      </c>
      <c r="U13" s="202">
        <v>8</v>
      </c>
      <c r="V13" s="197">
        <v>1</v>
      </c>
      <c r="W13" s="163"/>
      <c r="X13" s="225" t="s">
        <v>196</v>
      </c>
      <c r="Y13" s="225" t="s">
        <v>196</v>
      </c>
      <c r="Z13" s="123">
        <v>8</v>
      </c>
      <c r="AA13" s="123">
        <v>8</v>
      </c>
      <c r="AB13" s="201">
        <v>8</v>
      </c>
      <c r="AC13" s="197">
        <v>8</v>
      </c>
      <c r="AD13" s="163"/>
      <c r="AE13" s="192">
        <v>8</v>
      </c>
      <c r="AF13" s="231">
        <v>8</v>
      </c>
      <c r="AG13" s="123" t="s">
        <v>21</v>
      </c>
      <c r="AH13" s="123" t="s">
        <v>21</v>
      </c>
      <c r="AI13" s="201">
        <v>8</v>
      </c>
      <c r="AJ13" s="188">
        <v>9</v>
      </c>
      <c r="AK13" s="157">
        <f t="shared" si="0"/>
        <v>176</v>
      </c>
      <c r="AL13" s="129">
        <f t="shared" si="1"/>
        <v>147</v>
      </c>
      <c r="AM13" s="130">
        <f t="shared" si="2"/>
        <v>-29</v>
      </c>
      <c r="AO13" s="135">
        <f t="shared" ref="AO13:AO44" si="5">A13</f>
        <v>8</v>
      </c>
      <c r="AP13" s="108" t="str">
        <f t="shared" ref="AP13:AP44" si="6">B13</f>
        <v>Sergej Solev</v>
      </c>
      <c r="AQ13" s="38" t="str">
        <f t="shared" ref="AQ13:AQ44" si="7">C13</f>
        <v>Vođa smene</v>
      </c>
      <c r="AR13" s="76">
        <v>15</v>
      </c>
      <c r="AS13" s="20"/>
      <c r="AT13" s="20"/>
      <c r="AU13" s="22"/>
      <c r="AV13" s="36">
        <f t="shared" ref="AV13:AV37" si="8">COUNTIF(K13:AJ13,"bo")</f>
        <v>0</v>
      </c>
      <c r="AW13" s="36"/>
      <c r="AX13" s="36">
        <f t="shared" ref="AX13:AX20" si="9">(COUNTIF(K13:AJ13,"go")*8+COUNTIF(K13:AJ13,"sd")*8)/8</f>
        <v>2</v>
      </c>
      <c r="AY13" s="22"/>
      <c r="AZ13" s="23"/>
    </row>
    <row r="14" spans="1:52" ht="15" thickBot="1" x14ac:dyDescent="0.35">
      <c r="A14" s="135">
        <v>9</v>
      </c>
      <c r="B14" s="126" t="s">
        <v>45</v>
      </c>
      <c r="C14" s="142" t="s">
        <v>43</v>
      </c>
      <c r="D14" s="142" t="s">
        <v>44</v>
      </c>
      <c r="E14" s="148">
        <v>14</v>
      </c>
      <c r="F14" s="151">
        <v>0</v>
      </c>
      <c r="G14" s="148">
        <v>20</v>
      </c>
      <c r="H14" s="147">
        <f t="shared" si="4"/>
        <v>7.6660000000000004</v>
      </c>
      <c r="I14" s="188"/>
      <c r="J14" s="193">
        <v>8</v>
      </c>
      <c r="K14" s="174">
        <v>8</v>
      </c>
      <c r="L14" s="174">
        <v>8</v>
      </c>
      <c r="M14" s="174">
        <v>8</v>
      </c>
      <c r="N14" s="202">
        <v>8</v>
      </c>
      <c r="O14" s="197">
        <v>1</v>
      </c>
      <c r="P14" s="163"/>
      <c r="Q14" s="192">
        <v>8</v>
      </c>
      <c r="R14" s="123">
        <v>8</v>
      </c>
      <c r="S14" s="123">
        <v>8</v>
      </c>
      <c r="T14" s="123">
        <v>8</v>
      </c>
      <c r="U14" s="201">
        <v>8</v>
      </c>
      <c r="V14" s="197"/>
      <c r="W14" s="163">
        <v>1</v>
      </c>
      <c r="X14" s="225" t="s">
        <v>196</v>
      </c>
      <c r="Y14" s="226" t="s">
        <v>196</v>
      </c>
      <c r="Z14" s="123">
        <v>8</v>
      </c>
      <c r="AA14" s="123">
        <v>8</v>
      </c>
      <c r="AB14" s="201">
        <v>8</v>
      </c>
      <c r="AC14" s="197">
        <v>9</v>
      </c>
      <c r="AD14" s="163"/>
      <c r="AE14" s="193">
        <v>8</v>
      </c>
      <c r="AF14" s="232">
        <v>8</v>
      </c>
      <c r="AG14" s="174">
        <v>8</v>
      </c>
      <c r="AH14" s="174">
        <v>8</v>
      </c>
      <c r="AI14" s="202">
        <v>8</v>
      </c>
      <c r="AJ14" s="188">
        <v>1</v>
      </c>
      <c r="AK14" s="157">
        <f t="shared" si="0"/>
        <v>176</v>
      </c>
      <c r="AL14" s="129">
        <f t="shared" si="1"/>
        <v>156</v>
      </c>
      <c r="AM14" s="130">
        <f t="shared" si="2"/>
        <v>-20</v>
      </c>
      <c r="AO14" s="135">
        <f t="shared" si="5"/>
        <v>9</v>
      </c>
      <c r="AP14" s="108" t="str">
        <f t="shared" si="6"/>
        <v>Miloš Tacić</v>
      </c>
      <c r="AQ14" s="38" t="str">
        <f t="shared" si="7"/>
        <v>Vođa smene</v>
      </c>
      <c r="AR14" s="76">
        <v>18</v>
      </c>
      <c r="AS14" s="20"/>
      <c r="AT14" s="20"/>
      <c r="AU14" s="22"/>
      <c r="AV14" s="36">
        <f t="shared" si="8"/>
        <v>0</v>
      </c>
      <c r="AW14" s="36"/>
      <c r="AX14" s="36">
        <f t="shared" si="9"/>
        <v>0</v>
      </c>
      <c r="AY14" s="22"/>
      <c r="AZ14" s="23"/>
    </row>
    <row r="15" spans="1:52" ht="15" thickBot="1" x14ac:dyDescent="0.35">
      <c r="A15" s="135">
        <v>10</v>
      </c>
      <c r="B15" s="126" t="s">
        <v>46</v>
      </c>
      <c r="C15" s="142" t="s">
        <v>43</v>
      </c>
      <c r="D15" s="142" t="s">
        <v>44</v>
      </c>
      <c r="E15" s="219">
        <v>20</v>
      </c>
      <c r="F15" s="151">
        <v>0</v>
      </c>
      <c r="G15" s="148">
        <v>20</v>
      </c>
      <c r="H15" s="147">
        <f t="shared" si="4"/>
        <v>1.6659999999999999</v>
      </c>
      <c r="I15" s="188"/>
      <c r="J15" s="192">
        <v>8</v>
      </c>
      <c r="K15" s="123">
        <v>8</v>
      </c>
      <c r="L15" s="123">
        <v>8</v>
      </c>
      <c r="M15" s="123">
        <v>8</v>
      </c>
      <c r="N15" s="201">
        <v>8</v>
      </c>
      <c r="O15" s="197"/>
      <c r="P15" s="163">
        <v>1</v>
      </c>
      <c r="Q15" s="192">
        <v>8</v>
      </c>
      <c r="R15" s="123">
        <v>8</v>
      </c>
      <c r="S15" s="123">
        <v>8</v>
      </c>
      <c r="T15" s="123">
        <v>8</v>
      </c>
      <c r="U15" s="201">
        <v>8</v>
      </c>
      <c r="V15" s="197"/>
      <c r="W15" s="163"/>
      <c r="X15" s="225" t="s">
        <v>196</v>
      </c>
      <c r="Y15" s="226" t="s">
        <v>196</v>
      </c>
      <c r="Z15" s="174">
        <v>8</v>
      </c>
      <c r="AA15" s="174">
        <v>8</v>
      </c>
      <c r="AB15" s="202">
        <v>8</v>
      </c>
      <c r="AC15" s="197"/>
      <c r="AD15" s="163"/>
      <c r="AE15" s="192">
        <v>8</v>
      </c>
      <c r="AF15" s="231">
        <v>8</v>
      </c>
      <c r="AG15" s="122">
        <v>8</v>
      </c>
      <c r="AH15" s="123">
        <v>8</v>
      </c>
      <c r="AI15" s="218">
        <v>8</v>
      </c>
      <c r="AJ15" s="210">
        <v>2</v>
      </c>
      <c r="AK15" s="157">
        <f t="shared" si="0"/>
        <v>176</v>
      </c>
      <c r="AL15" s="129">
        <f t="shared" si="1"/>
        <v>147</v>
      </c>
      <c r="AM15" s="130">
        <f t="shared" si="2"/>
        <v>-29</v>
      </c>
      <c r="AO15" s="135">
        <f t="shared" si="5"/>
        <v>10</v>
      </c>
      <c r="AP15" s="108" t="str">
        <f t="shared" si="6"/>
        <v>Lazar Panajotović</v>
      </c>
      <c r="AQ15" s="38" t="str">
        <f t="shared" si="7"/>
        <v>Vođa smene</v>
      </c>
      <c r="AR15" s="76">
        <v>13</v>
      </c>
      <c r="AS15" s="20"/>
      <c r="AT15" s="20"/>
      <c r="AU15" s="22"/>
      <c r="AV15" s="36">
        <f t="shared" si="8"/>
        <v>0</v>
      </c>
      <c r="AW15" s="36"/>
      <c r="AX15" s="36">
        <f t="shared" si="9"/>
        <v>0</v>
      </c>
      <c r="AY15" s="22"/>
      <c r="AZ15" s="23"/>
    </row>
    <row r="16" spans="1:52" ht="15" thickBot="1" x14ac:dyDescent="0.35">
      <c r="A16" s="135">
        <v>11</v>
      </c>
      <c r="B16" s="126" t="s">
        <v>47</v>
      </c>
      <c r="C16" s="142" t="s">
        <v>48</v>
      </c>
      <c r="D16" s="142" t="s">
        <v>49</v>
      </c>
      <c r="E16" s="219">
        <v>20</v>
      </c>
      <c r="F16" s="151">
        <v>0</v>
      </c>
      <c r="G16" s="148">
        <v>20</v>
      </c>
      <c r="H16" s="147">
        <f t="shared" si="4"/>
        <v>1.6659999999999999</v>
      </c>
      <c r="I16" s="188"/>
      <c r="J16" s="192">
        <v>8</v>
      </c>
      <c r="K16" s="123">
        <v>8</v>
      </c>
      <c r="L16" s="123">
        <v>8</v>
      </c>
      <c r="M16" s="123">
        <v>8</v>
      </c>
      <c r="N16" s="201" t="s">
        <v>110</v>
      </c>
      <c r="O16" s="197"/>
      <c r="P16" s="163"/>
      <c r="Q16" s="192" t="s">
        <v>110</v>
      </c>
      <c r="R16" s="123" t="s">
        <v>110</v>
      </c>
      <c r="S16" s="123" t="s">
        <v>110</v>
      </c>
      <c r="T16" s="123" t="s">
        <v>110</v>
      </c>
      <c r="U16" s="201" t="s">
        <v>110</v>
      </c>
      <c r="V16" s="197"/>
      <c r="W16" s="163"/>
      <c r="X16" s="225" t="s">
        <v>110</v>
      </c>
      <c r="Y16" s="225" t="s">
        <v>110</v>
      </c>
      <c r="Z16" s="123" t="s">
        <v>110</v>
      </c>
      <c r="AA16" s="123" t="s">
        <v>110</v>
      </c>
      <c r="AB16" s="201" t="s">
        <v>110</v>
      </c>
      <c r="AC16" s="197"/>
      <c r="AD16" s="163"/>
      <c r="AE16" s="192" t="s">
        <v>110</v>
      </c>
      <c r="AF16" s="192" t="s">
        <v>110</v>
      </c>
      <c r="AG16" s="192" t="s">
        <v>110</v>
      </c>
      <c r="AH16" s="192" t="s">
        <v>110</v>
      </c>
      <c r="AI16" s="192" t="s">
        <v>110</v>
      </c>
      <c r="AJ16" s="188"/>
      <c r="AK16" s="157">
        <f t="shared" si="0"/>
        <v>176</v>
      </c>
      <c r="AL16" s="129">
        <f t="shared" si="1"/>
        <v>32</v>
      </c>
      <c r="AM16" s="130">
        <f t="shared" si="2"/>
        <v>-144</v>
      </c>
      <c r="AO16" s="135">
        <f t="shared" si="5"/>
        <v>11</v>
      </c>
      <c r="AP16" s="108" t="str">
        <f t="shared" si="6"/>
        <v>Nenad Radojević</v>
      </c>
      <c r="AQ16" s="38" t="str">
        <f t="shared" si="7"/>
        <v>Viljuškarista</v>
      </c>
      <c r="AR16" s="76">
        <v>15</v>
      </c>
      <c r="AS16" s="20"/>
      <c r="AT16" s="20"/>
      <c r="AU16" s="22"/>
      <c r="AV16" s="36">
        <f t="shared" si="8"/>
        <v>16</v>
      </c>
      <c r="AW16" s="36" t="s">
        <v>50</v>
      </c>
      <c r="AX16" s="36">
        <f t="shared" si="9"/>
        <v>0</v>
      </c>
      <c r="AY16" s="22"/>
      <c r="AZ16" s="23"/>
    </row>
    <row r="17" spans="1:52" ht="15" thickBot="1" x14ac:dyDescent="0.35">
      <c r="A17" s="135">
        <v>12</v>
      </c>
      <c r="B17" s="126" t="s">
        <v>51</v>
      </c>
      <c r="C17" s="142" t="s">
        <v>48</v>
      </c>
      <c r="D17" s="142" t="s">
        <v>52</v>
      </c>
      <c r="E17" s="148">
        <v>14</v>
      </c>
      <c r="F17" s="151">
        <v>0</v>
      </c>
      <c r="G17" s="148">
        <v>20</v>
      </c>
      <c r="H17" s="147">
        <f t="shared" si="4"/>
        <v>7.6660000000000004</v>
      </c>
      <c r="I17" s="188"/>
      <c r="J17" s="192">
        <v>8</v>
      </c>
      <c r="K17" s="123">
        <v>8</v>
      </c>
      <c r="L17" s="123">
        <v>8</v>
      </c>
      <c r="M17" s="123">
        <v>8</v>
      </c>
      <c r="N17" s="201">
        <v>8</v>
      </c>
      <c r="O17" s="197"/>
      <c r="P17" s="163"/>
      <c r="Q17" s="193">
        <v>8</v>
      </c>
      <c r="R17" s="174">
        <v>8</v>
      </c>
      <c r="S17" s="174">
        <v>8</v>
      </c>
      <c r="T17" s="174">
        <v>8</v>
      </c>
      <c r="U17" s="202">
        <v>8</v>
      </c>
      <c r="V17" s="197"/>
      <c r="W17" s="163"/>
      <c r="X17" s="225" t="s">
        <v>196</v>
      </c>
      <c r="Y17" s="225" t="s">
        <v>196</v>
      </c>
      <c r="Z17" s="123">
        <v>8</v>
      </c>
      <c r="AA17" s="123">
        <v>8</v>
      </c>
      <c r="AB17" s="201">
        <v>8</v>
      </c>
      <c r="AC17" s="197"/>
      <c r="AD17" s="163"/>
      <c r="AE17" s="192">
        <v>8</v>
      </c>
      <c r="AF17" s="231">
        <v>8</v>
      </c>
      <c r="AG17" s="123">
        <v>8</v>
      </c>
      <c r="AH17" s="123">
        <v>8</v>
      </c>
      <c r="AI17" s="201">
        <v>8</v>
      </c>
      <c r="AJ17" s="188"/>
      <c r="AK17" s="157">
        <f t="shared" si="0"/>
        <v>176</v>
      </c>
      <c r="AL17" s="129">
        <f t="shared" si="1"/>
        <v>144</v>
      </c>
      <c r="AM17" s="130">
        <f t="shared" si="2"/>
        <v>-32</v>
      </c>
      <c r="AO17" s="135">
        <f t="shared" si="5"/>
        <v>12</v>
      </c>
      <c r="AP17" s="108" t="str">
        <f t="shared" si="6"/>
        <v>Darko Perić</v>
      </c>
      <c r="AQ17" s="38" t="str">
        <f t="shared" si="7"/>
        <v>Viljuškarista</v>
      </c>
      <c r="AR17" s="76">
        <v>14</v>
      </c>
      <c r="AS17" s="20"/>
      <c r="AT17" s="20"/>
      <c r="AU17" s="22"/>
      <c r="AV17" s="36">
        <f t="shared" si="8"/>
        <v>0</v>
      </c>
      <c r="AW17" s="36"/>
      <c r="AX17" s="36">
        <f t="shared" si="9"/>
        <v>0</v>
      </c>
      <c r="AY17" s="22" t="s">
        <v>53</v>
      </c>
      <c r="AZ17" s="23"/>
    </row>
    <row r="18" spans="1:52" ht="15" thickBot="1" x14ac:dyDescent="0.35">
      <c r="A18" s="135">
        <v>13</v>
      </c>
      <c r="B18" s="126" t="s">
        <v>54</v>
      </c>
      <c r="C18" s="142" t="s">
        <v>48</v>
      </c>
      <c r="D18" s="142" t="s">
        <v>52</v>
      </c>
      <c r="E18" s="219">
        <v>20</v>
      </c>
      <c r="F18" s="151">
        <v>2</v>
      </c>
      <c r="G18" s="148">
        <v>20</v>
      </c>
      <c r="H18" s="147">
        <f t="shared" si="4"/>
        <v>-0.33400000000000007</v>
      </c>
      <c r="I18" s="188"/>
      <c r="J18" s="192">
        <v>8</v>
      </c>
      <c r="K18" s="123">
        <v>8</v>
      </c>
      <c r="L18" s="123">
        <v>8</v>
      </c>
      <c r="M18" s="123">
        <v>8</v>
      </c>
      <c r="N18" s="201">
        <v>8</v>
      </c>
      <c r="O18" s="197"/>
      <c r="P18" s="163"/>
      <c r="Q18" s="192">
        <v>8</v>
      </c>
      <c r="R18" s="123">
        <v>8</v>
      </c>
      <c r="S18" s="123">
        <v>8</v>
      </c>
      <c r="T18" s="123">
        <v>8</v>
      </c>
      <c r="U18" s="201">
        <v>8</v>
      </c>
      <c r="V18" s="197"/>
      <c r="W18" s="163"/>
      <c r="X18" s="225" t="s">
        <v>196</v>
      </c>
      <c r="Y18" s="226" t="s">
        <v>196</v>
      </c>
      <c r="Z18" s="174">
        <v>8</v>
      </c>
      <c r="AA18" s="174">
        <v>8</v>
      </c>
      <c r="AB18" s="202">
        <v>8</v>
      </c>
      <c r="AC18" s="197"/>
      <c r="AD18" s="163"/>
      <c r="AE18" s="192">
        <v>8</v>
      </c>
      <c r="AF18" s="231">
        <v>8</v>
      </c>
      <c r="AG18" s="123">
        <v>8</v>
      </c>
      <c r="AH18" s="123">
        <v>8</v>
      </c>
      <c r="AI18" s="201">
        <v>8</v>
      </c>
      <c r="AJ18" s="188"/>
      <c r="AK18" s="157">
        <f t="shared" si="0"/>
        <v>176</v>
      </c>
      <c r="AL18" s="129">
        <f t="shared" si="1"/>
        <v>144</v>
      </c>
      <c r="AM18" s="130">
        <f t="shared" si="2"/>
        <v>-32</v>
      </c>
      <c r="AO18" s="135">
        <f t="shared" si="5"/>
        <v>13</v>
      </c>
      <c r="AP18" s="108" t="str">
        <f t="shared" si="6"/>
        <v>Željko Perić</v>
      </c>
      <c r="AQ18" s="38" t="str">
        <f t="shared" si="7"/>
        <v>Viljuškarista</v>
      </c>
      <c r="AR18" s="76">
        <v>13</v>
      </c>
      <c r="AS18" s="20"/>
      <c r="AT18" s="20"/>
      <c r="AU18" s="22"/>
      <c r="AV18" s="36">
        <f t="shared" si="8"/>
        <v>0</v>
      </c>
      <c r="AW18" s="36"/>
      <c r="AX18" s="36">
        <f t="shared" si="9"/>
        <v>0</v>
      </c>
      <c r="AY18" s="22"/>
      <c r="AZ18" s="23"/>
    </row>
    <row r="19" spans="1:52" ht="15" thickBot="1" x14ac:dyDescent="0.35">
      <c r="A19" s="135">
        <v>14</v>
      </c>
      <c r="B19" s="126" t="s">
        <v>55</v>
      </c>
      <c r="C19" s="142" t="s">
        <v>56</v>
      </c>
      <c r="D19" s="142" t="s">
        <v>57</v>
      </c>
      <c r="E19" s="148">
        <v>20</v>
      </c>
      <c r="F19" s="151">
        <v>0</v>
      </c>
      <c r="G19" s="148">
        <v>20</v>
      </c>
      <c r="H19" s="147">
        <f t="shared" si="4"/>
        <v>1.6659999999999999</v>
      </c>
      <c r="I19" s="188"/>
      <c r="J19" s="193">
        <v>8</v>
      </c>
      <c r="K19" s="174">
        <v>8</v>
      </c>
      <c r="L19" s="174">
        <v>8</v>
      </c>
      <c r="M19" s="174">
        <v>8</v>
      </c>
      <c r="N19" s="202">
        <v>8</v>
      </c>
      <c r="O19" s="197"/>
      <c r="P19" s="163"/>
      <c r="Q19" s="192">
        <v>8</v>
      </c>
      <c r="R19" s="123">
        <v>8</v>
      </c>
      <c r="S19" s="123">
        <v>8</v>
      </c>
      <c r="T19" s="123">
        <v>8</v>
      </c>
      <c r="U19" s="201">
        <v>8</v>
      </c>
      <c r="V19" s="197"/>
      <c r="W19" s="163"/>
      <c r="X19" s="225" t="s">
        <v>196</v>
      </c>
      <c r="Y19" s="226" t="s">
        <v>196</v>
      </c>
      <c r="Z19" s="123">
        <v>8</v>
      </c>
      <c r="AA19" s="123">
        <v>8</v>
      </c>
      <c r="AB19" s="201">
        <v>8</v>
      </c>
      <c r="AC19" s="197">
        <v>8</v>
      </c>
      <c r="AD19" s="163"/>
      <c r="AE19" s="193">
        <v>8</v>
      </c>
      <c r="AF19" s="232">
        <v>8</v>
      </c>
      <c r="AG19" s="174">
        <v>8</v>
      </c>
      <c r="AH19" s="174">
        <v>8</v>
      </c>
      <c r="AI19" s="202">
        <v>8</v>
      </c>
      <c r="AJ19" s="188"/>
      <c r="AK19" s="158">
        <f t="shared" si="0"/>
        <v>176</v>
      </c>
      <c r="AL19" s="129">
        <f t="shared" si="1"/>
        <v>152</v>
      </c>
      <c r="AM19" s="130">
        <f t="shared" si="2"/>
        <v>-24</v>
      </c>
      <c r="AO19" s="135">
        <f t="shared" si="5"/>
        <v>14</v>
      </c>
      <c r="AP19" s="108" t="str">
        <f t="shared" si="6"/>
        <v>Zlatan Stojmirović</v>
      </c>
      <c r="AQ19" s="38" t="str">
        <f t="shared" si="7"/>
        <v>Proizvodnja gumica</v>
      </c>
      <c r="AR19" s="76">
        <v>18</v>
      </c>
      <c r="AS19" s="22"/>
      <c r="AT19" s="22"/>
      <c r="AU19" s="22"/>
      <c r="AV19" s="36">
        <f t="shared" si="8"/>
        <v>0</v>
      </c>
      <c r="AW19" s="36" t="s">
        <v>58</v>
      </c>
      <c r="AX19" s="36">
        <f t="shared" si="9"/>
        <v>0</v>
      </c>
      <c r="AY19" s="22" t="s">
        <v>59</v>
      </c>
      <c r="AZ19" s="23"/>
    </row>
    <row r="20" spans="1:52" ht="15" thickBot="1" x14ac:dyDescent="0.35">
      <c r="A20" s="135">
        <v>15</v>
      </c>
      <c r="B20" s="126" t="s">
        <v>60</v>
      </c>
      <c r="C20" s="142" t="s">
        <v>61</v>
      </c>
      <c r="D20" s="142" t="s">
        <v>62</v>
      </c>
      <c r="E20" s="148">
        <v>18</v>
      </c>
      <c r="F20" s="151">
        <v>0</v>
      </c>
      <c r="G20" s="148">
        <v>20</v>
      </c>
      <c r="H20" s="147">
        <f t="shared" si="4"/>
        <v>3.6659999999999999</v>
      </c>
      <c r="I20" s="188"/>
      <c r="J20" s="192">
        <v>8</v>
      </c>
      <c r="K20" s="123">
        <v>8</v>
      </c>
      <c r="L20" s="123">
        <v>8</v>
      </c>
      <c r="M20" s="123">
        <v>8</v>
      </c>
      <c r="N20" s="201">
        <v>8</v>
      </c>
      <c r="O20" s="197"/>
      <c r="P20" s="163"/>
      <c r="Q20" s="192">
        <v>8</v>
      </c>
      <c r="R20" s="123" t="s">
        <v>110</v>
      </c>
      <c r="S20" s="123" t="s">
        <v>110</v>
      </c>
      <c r="T20" s="123" t="s">
        <v>110</v>
      </c>
      <c r="U20" s="201" t="s">
        <v>110</v>
      </c>
      <c r="V20" s="197"/>
      <c r="W20" s="163"/>
      <c r="X20" s="225" t="s">
        <v>196</v>
      </c>
      <c r="Y20" s="226" t="s">
        <v>196</v>
      </c>
      <c r="Z20" s="174">
        <v>8</v>
      </c>
      <c r="AA20" s="174">
        <v>8</v>
      </c>
      <c r="AB20" s="202">
        <v>8</v>
      </c>
      <c r="AC20" s="197"/>
      <c r="AD20" s="163"/>
      <c r="AE20" s="192">
        <v>8</v>
      </c>
      <c r="AF20" s="231">
        <v>8</v>
      </c>
      <c r="AG20" s="123">
        <v>8</v>
      </c>
      <c r="AH20" s="123">
        <v>8</v>
      </c>
      <c r="AI20" s="201">
        <v>8</v>
      </c>
      <c r="AJ20" s="188"/>
      <c r="AK20" s="158">
        <f t="shared" si="0"/>
        <v>176</v>
      </c>
      <c r="AL20" s="129">
        <f t="shared" si="1"/>
        <v>112</v>
      </c>
      <c r="AM20" s="130">
        <f t="shared" si="2"/>
        <v>-64</v>
      </c>
      <c r="AO20" s="135">
        <f t="shared" si="5"/>
        <v>15</v>
      </c>
      <c r="AP20" s="108" t="str">
        <f t="shared" si="6"/>
        <v>Miodrag Kostić</v>
      </c>
      <c r="AQ20" s="38" t="str">
        <f t="shared" si="7"/>
        <v>Compact - L1</v>
      </c>
      <c r="AR20" s="76">
        <v>18</v>
      </c>
      <c r="AS20" s="22"/>
      <c r="AT20" s="20"/>
      <c r="AU20" s="22"/>
      <c r="AV20" s="36">
        <f t="shared" si="8"/>
        <v>4</v>
      </c>
      <c r="AW20" s="36" t="s">
        <v>64</v>
      </c>
      <c r="AX20" s="36">
        <f t="shared" si="9"/>
        <v>0</v>
      </c>
      <c r="AY20" s="22"/>
      <c r="AZ20" s="23"/>
    </row>
    <row r="21" spans="1:52" ht="15" thickBot="1" x14ac:dyDescent="0.35">
      <c r="A21" s="135">
        <v>16</v>
      </c>
      <c r="B21" s="126" t="s">
        <v>65</v>
      </c>
      <c r="C21" s="142" t="s">
        <v>61</v>
      </c>
      <c r="D21" s="142" t="s">
        <v>62</v>
      </c>
      <c r="E21" s="148">
        <v>14</v>
      </c>
      <c r="F21" s="151">
        <v>0</v>
      </c>
      <c r="G21" s="148">
        <v>20</v>
      </c>
      <c r="H21" s="147">
        <f t="shared" si="4"/>
        <v>7.6660000000000004</v>
      </c>
      <c r="I21" s="188"/>
      <c r="J21" s="193">
        <v>8</v>
      </c>
      <c r="K21" s="173">
        <v>8</v>
      </c>
      <c r="L21" s="174" t="s">
        <v>66</v>
      </c>
      <c r="M21" s="174" t="s">
        <v>66</v>
      </c>
      <c r="N21" s="202">
        <v>8</v>
      </c>
      <c r="O21" s="197"/>
      <c r="P21" s="163"/>
      <c r="Q21" s="192">
        <v>8</v>
      </c>
      <c r="R21" s="123">
        <v>8</v>
      </c>
      <c r="S21" s="123">
        <v>8</v>
      </c>
      <c r="T21" s="123">
        <v>8</v>
      </c>
      <c r="U21" s="201">
        <v>8</v>
      </c>
      <c r="V21" s="197"/>
      <c r="W21" s="163"/>
      <c r="X21" s="225" t="s">
        <v>196</v>
      </c>
      <c r="Y21" s="226" t="s">
        <v>196</v>
      </c>
      <c r="Z21" s="123">
        <v>8</v>
      </c>
      <c r="AA21" s="123">
        <v>8</v>
      </c>
      <c r="AB21" s="201">
        <v>8</v>
      </c>
      <c r="AC21" s="197">
        <v>8</v>
      </c>
      <c r="AD21" s="163"/>
      <c r="AE21" s="193">
        <v>8</v>
      </c>
      <c r="AF21" s="232">
        <v>8</v>
      </c>
      <c r="AG21" s="174">
        <v>8</v>
      </c>
      <c r="AH21" s="174">
        <v>8</v>
      </c>
      <c r="AI21" s="202">
        <v>8</v>
      </c>
      <c r="AJ21" s="188"/>
      <c r="AK21" s="158">
        <f t="shared" si="0"/>
        <v>176</v>
      </c>
      <c r="AL21" s="129">
        <f t="shared" si="1"/>
        <v>136</v>
      </c>
      <c r="AM21" s="130">
        <f t="shared" si="2"/>
        <v>-40</v>
      </c>
      <c r="AO21" s="135">
        <f t="shared" si="5"/>
        <v>16</v>
      </c>
      <c r="AP21" s="108" t="str">
        <f t="shared" si="6"/>
        <v>Bojan Mikić</v>
      </c>
      <c r="AQ21" s="38" t="str">
        <f t="shared" si="7"/>
        <v>Compact - L1</v>
      </c>
      <c r="AR21" s="76">
        <v>19</v>
      </c>
      <c r="AS21" s="22"/>
      <c r="AT21" s="20"/>
      <c r="AU21" s="22"/>
      <c r="AV21" s="36">
        <f t="shared" si="8"/>
        <v>0</v>
      </c>
      <c r="AW21" s="36" t="s">
        <v>67</v>
      </c>
      <c r="AX21" s="36">
        <v>0</v>
      </c>
      <c r="AY21" s="22"/>
      <c r="AZ21" s="23"/>
    </row>
    <row r="22" spans="1:52" ht="15" thickBot="1" x14ac:dyDescent="0.35">
      <c r="A22" s="135">
        <v>17</v>
      </c>
      <c r="B22" s="126" t="s">
        <v>68</v>
      </c>
      <c r="C22" s="142" t="s">
        <v>69</v>
      </c>
      <c r="D22" s="142" t="s">
        <v>52</v>
      </c>
      <c r="E22" s="148">
        <v>17</v>
      </c>
      <c r="F22" s="151">
        <v>0</v>
      </c>
      <c r="G22" s="148">
        <v>18</v>
      </c>
      <c r="H22" s="147">
        <f t="shared" si="4"/>
        <v>2.6659999999999999</v>
      </c>
      <c r="I22" s="188"/>
      <c r="J22" s="193">
        <v>8</v>
      </c>
      <c r="K22" s="174">
        <v>8</v>
      </c>
      <c r="L22" s="174">
        <v>8</v>
      </c>
      <c r="M22" s="174">
        <v>8</v>
      </c>
      <c r="N22" s="202">
        <v>8</v>
      </c>
      <c r="O22" s="197"/>
      <c r="P22" s="163"/>
      <c r="Q22" s="192">
        <v>8</v>
      </c>
      <c r="R22" s="123" t="s">
        <v>110</v>
      </c>
      <c r="S22" s="123" t="s">
        <v>110</v>
      </c>
      <c r="T22" s="123" t="s">
        <v>110</v>
      </c>
      <c r="U22" s="201" t="s">
        <v>110</v>
      </c>
      <c r="V22" s="197"/>
      <c r="W22" s="163"/>
      <c r="X22" s="225" t="s">
        <v>110</v>
      </c>
      <c r="Y22" s="226" t="s">
        <v>110</v>
      </c>
      <c r="Z22" s="123" t="s">
        <v>110</v>
      </c>
      <c r="AA22" s="123" t="s">
        <v>110</v>
      </c>
      <c r="AB22" s="201" t="s">
        <v>110</v>
      </c>
      <c r="AC22" s="197"/>
      <c r="AD22" s="163"/>
      <c r="AE22" s="193">
        <v>8</v>
      </c>
      <c r="AF22" s="232">
        <v>8</v>
      </c>
      <c r="AG22" s="174">
        <v>8</v>
      </c>
      <c r="AH22" s="174">
        <v>8</v>
      </c>
      <c r="AI22" s="202">
        <v>8</v>
      </c>
      <c r="AJ22" s="188"/>
      <c r="AK22" s="158">
        <f t="shared" si="0"/>
        <v>176</v>
      </c>
      <c r="AL22" s="129">
        <f t="shared" si="1"/>
        <v>88</v>
      </c>
      <c r="AM22" s="130">
        <f t="shared" si="2"/>
        <v>-88</v>
      </c>
      <c r="AO22" s="135">
        <f t="shared" si="5"/>
        <v>17</v>
      </c>
      <c r="AP22" s="108" t="str">
        <f t="shared" si="6"/>
        <v>Miloš Miloradović</v>
      </c>
      <c r="AQ22" s="38" t="str">
        <f t="shared" si="7"/>
        <v>Compact - (OBUKA)</v>
      </c>
      <c r="AR22" s="76">
        <v>18</v>
      </c>
      <c r="AS22" s="22"/>
      <c r="AT22" s="20"/>
      <c r="AU22" s="22"/>
      <c r="AV22" s="36">
        <f t="shared" si="8"/>
        <v>9</v>
      </c>
      <c r="AW22" s="36"/>
      <c r="AX22" s="36">
        <f t="shared" ref="AX22:AX31" si="10">(COUNTIF(K22:AJ22,"go")*8+COUNTIF(K22:AJ22,"sd")*8)/8</f>
        <v>0</v>
      </c>
      <c r="AY22" s="22"/>
      <c r="AZ22" s="23"/>
    </row>
    <row r="23" spans="1:52" ht="15" thickBot="1" x14ac:dyDescent="0.35">
      <c r="A23" s="135">
        <v>18</v>
      </c>
      <c r="B23" s="126" t="s">
        <v>70</v>
      </c>
      <c r="C23" s="142" t="s">
        <v>71</v>
      </c>
      <c r="D23" s="142" t="s">
        <v>72</v>
      </c>
      <c r="E23" s="219">
        <v>20</v>
      </c>
      <c r="F23" s="151">
        <v>3</v>
      </c>
      <c r="G23" s="148">
        <v>20</v>
      </c>
      <c r="H23" s="147">
        <f t="shared" si="4"/>
        <v>-1.3340000000000001</v>
      </c>
      <c r="I23" s="188"/>
      <c r="J23" s="193">
        <v>8</v>
      </c>
      <c r="K23" s="174">
        <v>8</v>
      </c>
      <c r="L23" s="174">
        <v>8</v>
      </c>
      <c r="M23" s="174">
        <v>8</v>
      </c>
      <c r="N23" s="202">
        <v>8</v>
      </c>
      <c r="O23" s="197"/>
      <c r="P23" s="163"/>
      <c r="Q23" s="192">
        <v>8</v>
      </c>
      <c r="R23" s="123">
        <v>8</v>
      </c>
      <c r="S23" s="123">
        <v>8</v>
      </c>
      <c r="T23" s="123">
        <v>8</v>
      </c>
      <c r="U23" s="201">
        <v>8</v>
      </c>
      <c r="V23" s="197"/>
      <c r="W23" s="163"/>
      <c r="X23" s="225" t="s">
        <v>196</v>
      </c>
      <c r="Y23" s="226" t="s">
        <v>196</v>
      </c>
      <c r="Z23" s="123">
        <v>8</v>
      </c>
      <c r="AA23" s="123">
        <v>8</v>
      </c>
      <c r="AB23" s="201">
        <v>8</v>
      </c>
      <c r="AC23" s="197">
        <v>8</v>
      </c>
      <c r="AD23" s="163"/>
      <c r="AE23" s="193">
        <v>8</v>
      </c>
      <c r="AF23" s="232">
        <v>8</v>
      </c>
      <c r="AG23" s="174">
        <v>8</v>
      </c>
      <c r="AH23" s="174">
        <v>8</v>
      </c>
      <c r="AI23" s="202" t="s">
        <v>66</v>
      </c>
      <c r="AJ23" s="188"/>
      <c r="AK23" s="158">
        <f t="shared" si="0"/>
        <v>176</v>
      </c>
      <c r="AL23" s="129">
        <f t="shared" si="1"/>
        <v>144</v>
      </c>
      <c r="AM23" s="130">
        <f t="shared" si="2"/>
        <v>-32</v>
      </c>
      <c r="AO23" s="135">
        <f t="shared" si="5"/>
        <v>18</v>
      </c>
      <c r="AP23" s="108" t="str">
        <f t="shared" si="6"/>
        <v>Dragan Marković</v>
      </c>
      <c r="AQ23" s="38" t="str">
        <f t="shared" si="7"/>
        <v>Universal - Demontaža mala L2</v>
      </c>
      <c r="AR23" s="76">
        <v>16</v>
      </c>
      <c r="AS23" s="22"/>
      <c r="AT23" s="20"/>
      <c r="AU23" s="22"/>
      <c r="AV23" s="36">
        <f t="shared" si="8"/>
        <v>0</v>
      </c>
      <c r="AW23" s="36"/>
      <c r="AX23" s="36">
        <f t="shared" si="10"/>
        <v>1</v>
      </c>
      <c r="AY23" s="22" t="s">
        <v>73</v>
      </c>
      <c r="AZ23" s="23"/>
    </row>
    <row r="24" spans="1:52" ht="15" thickBot="1" x14ac:dyDescent="0.35">
      <c r="A24" s="135">
        <v>19</v>
      </c>
      <c r="B24" s="126" t="s">
        <v>74</v>
      </c>
      <c r="C24" s="142" t="s">
        <v>75</v>
      </c>
      <c r="D24" s="142" t="s">
        <v>76</v>
      </c>
      <c r="E24" s="148">
        <v>17</v>
      </c>
      <c r="F24" s="151">
        <v>0</v>
      </c>
      <c r="G24" s="148">
        <v>20</v>
      </c>
      <c r="H24" s="147">
        <f t="shared" si="4"/>
        <v>4.6660000000000004</v>
      </c>
      <c r="I24" s="188"/>
      <c r="J24" s="192">
        <v>8</v>
      </c>
      <c r="K24" s="123">
        <v>8</v>
      </c>
      <c r="L24" s="123">
        <v>8</v>
      </c>
      <c r="M24" s="123">
        <v>8</v>
      </c>
      <c r="N24" s="201">
        <v>8</v>
      </c>
      <c r="O24" s="197"/>
      <c r="P24" s="163"/>
      <c r="Q24" s="192">
        <v>8</v>
      </c>
      <c r="R24" s="123">
        <v>8</v>
      </c>
      <c r="S24" s="123">
        <v>8</v>
      </c>
      <c r="T24" s="123">
        <v>8</v>
      </c>
      <c r="U24" s="201">
        <v>8</v>
      </c>
      <c r="V24" s="197">
        <v>8</v>
      </c>
      <c r="W24" s="163"/>
      <c r="X24" s="225" t="s">
        <v>196</v>
      </c>
      <c r="Y24" s="226" t="s">
        <v>196</v>
      </c>
      <c r="Z24" s="123">
        <v>8</v>
      </c>
      <c r="AA24" s="123">
        <v>8</v>
      </c>
      <c r="AB24" s="201">
        <v>8</v>
      </c>
      <c r="AC24" s="197">
        <v>8</v>
      </c>
      <c r="AD24" s="163"/>
      <c r="AE24" s="192">
        <v>8</v>
      </c>
      <c r="AF24" s="231">
        <v>8</v>
      </c>
      <c r="AG24" s="123">
        <v>8</v>
      </c>
      <c r="AH24" s="123">
        <v>8</v>
      </c>
      <c r="AI24" s="201">
        <v>8</v>
      </c>
      <c r="AJ24" s="188"/>
      <c r="AK24" s="158">
        <f t="shared" si="0"/>
        <v>176</v>
      </c>
      <c r="AL24" s="129">
        <f t="shared" si="1"/>
        <v>160</v>
      </c>
      <c r="AM24" s="130">
        <f t="shared" si="2"/>
        <v>-16</v>
      </c>
      <c r="AO24" s="135">
        <f t="shared" si="5"/>
        <v>19</v>
      </c>
      <c r="AP24" s="108" t="str">
        <f t="shared" si="6"/>
        <v>Predrag Maksić</v>
      </c>
      <c r="AQ24" s="38" t="str">
        <f t="shared" si="7"/>
        <v>Universal - Livenje L2</v>
      </c>
      <c r="AR24" s="76">
        <v>23</v>
      </c>
      <c r="AS24" s="20"/>
      <c r="AT24" s="20"/>
      <c r="AU24" s="22"/>
      <c r="AV24" s="36">
        <f t="shared" si="8"/>
        <v>0</v>
      </c>
      <c r="AW24" s="36"/>
      <c r="AX24" s="36">
        <f t="shared" si="10"/>
        <v>0</v>
      </c>
      <c r="AY24" s="22"/>
      <c r="AZ24" s="23"/>
    </row>
    <row r="25" spans="1:52" ht="15" thickBot="1" x14ac:dyDescent="0.35">
      <c r="A25" s="135">
        <v>20</v>
      </c>
      <c r="B25" s="126" t="s">
        <v>77</v>
      </c>
      <c r="C25" s="142" t="s">
        <v>78</v>
      </c>
      <c r="D25" s="142" t="s">
        <v>57</v>
      </c>
      <c r="E25" s="148">
        <v>14</v>
      </c>
      <c r="F25" s="151">
        <v>0</v>
      </c>
      <c r="G25" s="148">
        <v>20</v>
      </c>
      <c r="H25" s="147">
        <f t="shared" si="4"/>
        <v>7.6660000000000004</v>
      </c>
      <c r="I25" s="188"/>
      <c r="J25" s="192">
        <v>8</v>
      </c>
      <c r="K25" s="123">
        <v>8</v>
      </c>
      <c r="L25" s="123">
        <v>8</v>
      </c>
      <c r="M25" s="123">
        <v>8</v>
      </c>
      <c r="N25" s="201">
        <v>8</v>
      </c>
      <c r="O25" s="197"/>
      <c r="P25" s="163"/>
      <c r="Q25" s="193">
        <v>8</v>
      </c>
      <c r="R25" s="174">
        <v>8</v>
      </c>
      <c r="S25" s="174">
        <v>8</v>
      </c>
      <c r="T25" s="174">
        <v>8</v>
      </c>
      <c r="U25" s="202">
        <v>8</v>
      </c>
      <c r="V25" s="197"/>
      <c r="W25" s="163"/>
      <c r="X25" s="225" t="s">
        <v>196</v>
      </c>
      <c r="Y25" s="225" t="s">
        <v>196</v>
      </c>
      <c r="Z25" s="123">
        <v>8</v>
      </c>
      <c r="AA25" s="123">
        <v>8</v>
      </c>
      <c r="AB25" s="201">
        <v>8</v>
      </c>
      <c r="AC25" s="197"/>
      <c r="AD25" s="163"/>
      <c r="AE25" s="192">
        <v>8</v>
      </c>
      <c r="AF25" s="231">
        <v>8</v>
      </c>
      <c r="AG25" s="123">
        <v>8</v>
      </c>
      <c r="AH25" s="123">
        <v>8</v>
      </c>
      <c r="AI25" s="201">
        <v>8</v>
      </c>
      <c r="AJ25" s="188"/>
      <c r="AK25" s="158">
        <f t="shared" si="0"/>
        <v>176</v>
      </c>
      <c r="AL25" s="129">
        <f t="shared" si="1"/>
        <v>144</v>
      </c>
      <c r="AM25" s="130">
        <f t="shared" si="2"/>
        <v>-32</v>
      </c>
      <c r="AO25" s="135">
        <f t="shared" si="5"/>
        <v>20</v>
      </c>
      <c r="AP25" s="108" t="str">
        <f t="shared" si="6"/>
        <v>Nemanja Đorđević</v>
      </c>
      <c r="AQ25" s="38" t="str">
        <f t="shared" si="7"/>
        <v>Univerzal - Demontaža, mala L2</v>
      </c>
      <c r="AR25" s="76">
        <v>14</v>
      </c>
      <c r="AS25" s="22"/>
      <c r="AT25" s="20"/>
      <c r="AU25" s="22"/>
      <c r="AV25" s="36">
        <f t="shared" si="8"/>
        <v>0</v>
      </c>
      <c r="AW25" s="36"/>
      <c r="AX25" s="36">
        <f t="shared" si="10"/>
        <v>0</v>
      </c>
      <c r="AY25" s="22" t="s">
        <v>79</v>
      </c>
      <c r="AZ25" s="23"/>
    </row>
    <row r="26" spans="1:52" ht="15" thickBot="1" x14ac:dyDescent="0.35">
      <c r="A26" s="135">
        <v>21</v>
      </c>
      <c r="B26" s="126" t="s">
        <v>80</v>
      </c>
      <c r="C26" s="142" t="s">
        <v>81</v>
      </c>
      <c r="D26" s="142" t="s">
        <v>57</v>
      </c>
      <c r="E26" s="219">
        <v>20</v>
      </c>
      <c r="F26" s="151">
        <v>0</v>
      </c>
      <c r="G26" s="148">
        <v>20</v>
      </c>
      <c r="H26" s="147">
        <f t="shared" si="4"/>
        <v>1.6659999999999999</v>
      </c>
      <c r="I26" s="188"/>
      <c r="J26" s="192">
        <v>8</v>
      </c>
      <c r="K26" s="123">
        <v>8</v>
      </c>
      <c r="L26" s="123">
        <v>8</v>
      </c>
      <c r="M26" s="123">
        <v>8</v>
      </c>
      <c r="N26" s="201">
        <v>8</v>
      </c>
      <c r="O26" s="197"/>
      <c r="P26" s="163"/>
      <c r="Q26" s="193">
        <v>8</v>
      </c>
      <c r="R26" s="174">
        <v>8</v>
      </c>
      <c r="S26" s="174">
        <v>8</v>
      </c>
      <c r="T26" s="174">
        <v>8</v>
      </c>
      <c r="U26" s="202">
        <v>8</v>
      </c>
      <c r="V26" s="197"/>
      <c r="W26" s="163"/>
      <c r="X26" s="225" t="s">
        <v>196</v>
      </c>
      <c r="Y26" s="225" t="s">
        <v>196</v>
      </c>
      <c r="Z26" s="123">
        <v>8</v>
      </c>
      <c r="AA26" s="123">
        <v>8</v>
      </c>
      <c r="AB26" s="201">
        <v>8</v>
      </c>
      <c r="AC26" s="197"/>
      <c r="AD26" s="163"/>
      <c r="AE26" s="192">
        <v>8</v>
      </c>
      <c r="AF26" s="231">
        <v>8</v>
      </c>
      <c r="AG26" s="123">
        <v>8</v>
      </c>
      <c r="AH26" s="123">
        <v>8</v>
      </c>
      <c r="AI26" s="201">
        <v>8</v>
      </c>
      <c r="AJ26" s="188"/>
      <c r="AK26" s="158">
        <f t="shared" si="0"/>
        <v>176</v>
      </c>
      <c r="AL26" s="129">
        <f t="shared" si="1"/>
        <v>144</v>
      </c>
      <c r="AM26" s="130">
        <f t="shared" si="2"/>
        <v>-32</v>
      </c>
      <c r="AO26" s="135">
        <f t="shared" si="5"/>
        <v>21</v>
      </c>
      <c r="AP26" s="108" t="str">
        <f t="shared" si="6"/>
        <v>Željko Ranković</v>
      </c>
      <c r="AQ26" s="38" t="str">
        <f t="shared" si="7"/>
        <v>Universal - Demontaža Mala L2</v>
      </c>
      <c r="AR26" s="76">
        <v>15</v>
      </c>
      <c r="AS26" s="22"/>
      <c r="AT26" s="20"/>
      <c r="AU26" s="22"/>
      <c r="AV26" s="36">
        <f t="shared" si="8"/>
        <v>0</v>
      </c>
      <c r="AW26" s="36"/>
      <c r="AX26" s="36">
        <f t="shared" si="10"/>
        <v>0</v>
      </c>
      <c r="AY26" s="22"/>
      <c r="AZ26" s="23"/>
    </row>
    <row r="27" spans="1:52" ht="15" thickBot="1" x14ac:dyDescent="0.35">
      <c r="A27" s="135">
        <v>22</v>
      </c>
      <c r="B27" s="126" t="s">
        <v>82</v>
      </c>
      <c r="C27" s="142" t="s">
        <v>81</v>
      </c>
      <c r="D27" s="142" t="s">
        <v>57</v>
      </c>
      <c r="E27" s="148">
        <v>17</v>
      </c>
      <c r="F27" s="151">
        <v>0</v>
      </c>
      <c r="G27" s="148">
        <v>20</v>
      </c>
      <c r="H27" s="147">
        <f t="shared" si="4"/>
        <v>4.6660000000000004</v>
      </c>
      <c r="I27" s="188"/>
      <c r="J27" s="192">
        <v>8</v>
      </c>
      <c r="K27" s="123">
        <v>8</v>
      </c>
      <c r="L27" s="123">
        <v>8</v>
      </c>
      <c r="M27" s="123">
        <v>8</v>
      </c>
      <c r="N27" s="201">
        <v>8</v>
      </c>
      <c r="O27" s="197"/>
      <c r="P27" s="163"/>
      <c r="Q27" s="192">
        <v>8</v>
      </c>
      <c r="R27" s="123">
        <v>8</v>
      </c>
      <c r="S27" s="123">
        <v>8</v>
      </c>
      <c r="T27" s="123">
        <v>8</v>
      </c>
      <c r="U27" s="201">
        <v>8</v>
      </c>
      <c r="V27" s="197">
        <v>8</v>
      </c>
      <c r="W27" s="163"/>
      <c r="X27" s="225" t="s">
        <v>196</v>
      </c>
      <c r="Y27" s="226" t="s">
        <v>196</v>
      </c>
      <c r="Z27" s="174">
        <v>8</v>
      </c>
      <c r="AA27" s="174">
        <v>8</v>
      </c>
      <c r="AB27" s="218">
        <v>8</v>
      </c>
      <c r="AC27" s="197"/>
      <c r="AD27" s="163"/>
      <c r="AE27" s="192">
        <v>8</v>
      </c>
      <c r="AF27" s="231">
        <v>8</v>
      </c>
      <c r="AG27" s="123">
        <v>8</v>
      </c>
      <c r="AH27" s="171">
        <v>8</v>
      </c>
      <c r="AI27" s="201">
        <v>8</v>
      </c>
      <c r="AJ27" s="188"/>
      <c r="AK27" s="158">
        <f t="shared" si="0"/>
        <v>176</v>
      </c>
      <c r="AL27" s="129">
        <f t="shared" si="1"/>
        <v>152</v>
      </c>
      <c r="AM27" s="130">
        <f t="shared" si="2"/>
        <v>-24</v>
      </c>
      <c r="AO27" s="135">
        <f t="shared" si="5"/>
        <v>22</v>
      </c>
      <c r="AP27" s="108" t="str">
        <f t="shared" si="6"/>
        <v>Aleksandar Đorđević</v>
      </c>
      <c r="AQ27" s="38" t="str">
        <f t="shared" si="7"/>
        <v>Universal - Demontaža Mala L2</v>
      </c>
      <c r="AR27" s="76">
        <v>13</v>
      </c>
      <c r="AS27" s="22"/>
      <c r="AT27" s="20"/>
      <c r="AU27" s="22"/>
      <c r="AV27" s="36">
        <f t="shared" si="8"/>
        <v>0</v>
      </c>
      <c r="AW27" s="36"/>
      <c r="AX27" s="36">
        <f t="shared" si="10"/>
        <v>0</v>
      </c>
      <c r="AY27" s="22"/>
      <c r="AZ27" s="23"/>
    </row>
    <row r="28" spans="1:52" ht="15" thickBot="1" x14ac:dyDescent="0.35">
      <c r="A28" s="135">
        <v>23</v>
      </c>
      <c r="B28" s="126" t="s">
        <v>83</v>
      </c>
      <c r="C28" s="142" t="s">
        <v>84</v>
      </c>
      <c r="D28" s="142" t="s">
        <v>57</v>
      </c>
      <c r="E28" s="219">
        <v>20</v>
      </c>
      <c r="F28" s="151">
        <v>2</v>
      </c>
      <c r="G28" s="148">
        <v>20</v>
      </c>
      <c r="H28" s="147">
        <f t="shared" si="4"/>
        <v>-0.33400000000000007</v>
      </c>
      <c r="I28" s="188"/>
      <c r="J28" s="192">
        <v>8</v>
      </c>
      <c r="K28" s="123">
        <v>8</v>
      </c>
      <c r="L28" s="123">
        <v>8</v>
      </c>
      <c r="M28" s="123">
        <v>8</v>
      </c>
      <c r="N28" s="201">
        <v>8</v>
      </c>
      <c r="O28" s="197"/>
      <c r="P28" s="163"/>
      <c r="Q28" s="192">
        <v>8</v>
      </c>
      <c r="R28" s="123">
        <v>8</v>
      </c>
      <c r="S28" s="123">
        <v>8</v>
      </c>
      <c r="T28" s="123">
        <v>8</v>
      </c>
      <c r="U28" s="201">
        <v>8</v>
      </c>
      <c r="V28" s="197">
        <v>8</v>
      </c>
      <c r="W28" s="163"/>
      <c r="X28" s="225" t="s">
        <v>196</v>
      </c>
      <c r="Y28" s="226" t="s">
        <v>196</v>
      </c>
      <c r="Z28" s="174">
        <v>8</v>
      </c>
      <c r="AA28" s="174">
        <v>8</v>
      </c>
      <c r="AB28" s="202">
        <v>8</v>
      </c>
      <c r="AC28" s="197"/>
      <c r="AD28" s="163"/>
      <c r="AE28" s="192">
        <v>8</v>
      </c>
      <c r="AF28" s="231">
        <v>8</v>
      </c>
      <c r="AG28" s="123">
        <v>8</v>
      </c>
      <c r="AH28" s="123">
        <v>8</v>
      </c>
      <c r="AI28" s="201">
        <v>8</v>
      </c>
      <c r="AJ28" s="188"/>
      <c r="AK28" s="158">
        <f t="shared" si="0"/>
        <v>176</v>
      </c>
      <c r="AL28" s="129">
        <f t="shared" si="1"/>
        <v>152</v>
      </c>
      <c r="AM28" s="130">
        <f t="shared" si="2"/>
        <v>-24</v>
      </c>
      <c r="AO28" s="135">
        <f t="shared" si="5"/>
        <v>23</v>
      </c>
      <c r="AP28" s="108" t="str">
        <f t="shared" si="6"/>
        <v>Draško Stojadinović</v>
      </c>
      <c r="AQ28" s="38" t="str">
        <f t="shared" si="7"/>
        <v>Universal - Demontaža Velika L2</v>
      </c>
      <c r="AR28" s="76">
        <v>13</v>
      </c>
      <c r="AS28" s="22"/>
      <c r="AT28" s="20"/>
      <c r="AU28" s="22"/>
      <c r="AV28" s="36">
        <f t="shared" si="8"/>
        <v>0</v>
      </c>
      <c r="AW28" s="36"/>
      <c r="AX28" s="36">
        <f t="shared" si="10"/>
        <v>0</v>
      </c>
      <c r="AY28" s="22"/>
      <c r="AZ28" s="23"/>
    </row>
    <row r="29" spans="1:52" ht="15" thickBot="1" x14ac:dyDescent="0.35">
      <c r="A29" s="135">
        <v>24</v>
      </c>
      <c r="B29" s="126" t="s">
        <v>85</v>
      </c>
      <c r="C29" s="142" t="s">
        <v>86</v>
      </c>
      <c r="D29" s="142" t="s">
        <v>87</v>
      </c>
      <c r="E29" s="220">
        <v>27</v>
      </c>
      <c r="F29" s="151">
        <v>3</v>
      </c>
      <c r="G29" s="148">
        <v>20</v>
      </c>
      <c r="H29" s="147">
        <f t="shared" si="4"/>
        <v>-8.3339999999999996</v>
      </c>
      <c r="I29" s="188"/>
      <c r="J29" s="192">
        <v>8</v>
      </c>
      <c r="K29" s="123">
        <v>8</v>
      </c>
      <c r="L29" s="123">
        <v>8</v>
      </c>
      <c r="M29" s="123">
        <v>8</v>
      </c>
      <c r="N29" s="201">
        <v>8</v>
      </c>
      <c r="O29" s="197"/>
      <c r="P29" s="163"/>
      <c r="Q29" s="192">
        <v>8</v>
      </c>
      <c r="R29" s="123">
        <v>8</v>
      </c>
      <c r="S29" s="123">
        <v>8</v>
      </c>
      <c r="T29" s="123">
        <v>8</v>
      </c>
      <c r="U29" s="201">
        <v>8</v>
      </c>
      <c r="V29" s="197"/>
      <c r="W29" s="163"/>
      <c r="X29" s="225" t="s">
        <v>196</v>
      </c>
      <c r="Y29" s="226" t="s">
        <v>196</v>
      </c>
      <c r="Z29" s="123">
        <v>8</v>
      </c>
      <c r="AA29" s="123">
        <v>8</v>
      </c>
      <c r="AB29" s="201">
        <v>8</v>
      </c>
      <c r="AC29" s="197">
        <v>8</v>
      </c>
      <c r="AD29" s="163"/>
      <c r="AE29" s="192" t="s">
        <v>66</v>
      </c>
      <c r="AF29" s="231">
        <v>8</v>
      </c>
      <c r="AG29" s="123">
        <v>8</v>
      </c>
      <c r="AH29" s="123">
        <v>8</v>
      </c>
      <c r="AI29" s="201">
        <v>8</v>
      </c>
      <c r="AJ29" s="188"/>
      <c r="AK29" s="159">
        <f t="shared" si="0"/>
        <v>176</v>
      </c>
      <c r="AL29" s="129">
        <f t="shared" si="1"/>
        <v>144</v>
      </c>
      <c r="AM29" s="130">
        <f t="shared" si="2"/>
        <v>-32</v>
      </c>
      <c r="AO29" s="135">
        <f t="shared" si="5"/>
        <v>24</v>
      </c>
      <c r="AP29" s="108" t="str">
        <f t="shared" si="6"/>
        <v>Mladen Simić</v>
      </c>
      <c r="AQ29" s="38" t="str">
        <f t="shared" si="7"/>
        <v>Rodicut - Demontaža L3</v>
      </c>
      <c r="AR29" s="76">
        <v>23</v>
      </c>
      <c r="AS29" s="22"/>
      <c r="AT29" s="22"/>
      <c r="AU29" s="22"/>
      <c r="AV29" s="36">
        <f t="shared" si="8"/>
        <v>0</v>
      </c>
      <c r="AW29" s="36"/>
      <c r="AX29" s="36">
        <f t="shared" si="10"/>
        <v>1</v>
      </c>
      <c r="AY29" s="22"/>
      <c r="AZ29" s="23"/>
    </row>
    <row r="30" spans="1:52" ht="15" thickBot="1" x14ac:dyDescent="0.35">
      <c r="A30" s="135">
        <v>25</v>
      </c>
      <c r="B30" s="126" t="s">
        <v>88</v>
      </c>
      <c r="C30" s="142" t="s">
        <v>89</v>
      </c>
      <c r="D30" s="142" t="s">
        <v>90</v>
      </c>
      <c r="E30" s="219">
        <v>20</v>
      </c>
      <c r="F30" s="151">
        <v>0</v>
      </c>
      <c r="G30" s="148">
        <v>20</v>
      </c>
      <c r="H30" s="147">
        <f t="shared" si="4"/>
        <v>1.6659999999999999</v>
      </c>
      <c r="I30" s="188"/>
      <c r="J30" s="193">
        <v>8</v>
      </c>
      <c r="K30" s="174">
        <v>8</v>
      </c>
      <c r="L30" s="174">
        <v>8</v>
      </c>
      <c r="M30" s="174">
        <v>8</v>
      </c>
      <c r="N30" s="202">
        <v>8</v>
      </c>
      <c r="O30" s="197"/>
      <c r="P30" s="163"/>
      <c r="Q30" s="192">
        <v>8</v>
      </c>
      <c r="R30" s="123">
        <v>8</v>
      </c>
      <c r="S30" s="123">
        <v>8</v>
      </c>
      <c r="T30" s="123">
        <v>8</v>
      </c>
      <c r="U30" s="201">
        <v>8</v>
      </c>
      <c r="V30" s="197"/>
      <c r="W30" s="163"/>
      <c r="X30" s="225" t="s">
        <v>196</v>
      </c>
      <c r="Y30" s="226" t="s">
        <v>196</v>
      </c>
      <c r="Z30" s="123">
        <v>8</v>
      </c>
      <c r="AA30" s="123">
        <v>8</v>
      </c>
      <c r="AB30" s="201">
        <v>8</v>
      </c>
      <c r="AC30" s="197">
        <v>8</v>
      </c>
      <c r="AD30" s="163"/>
      <c r="AE30" s="193">
        <v>8</v>
      </c>
      <c r="AF30" s="232">
        <v>8</v>
      </c>
      <c r="AG30" s="174">
        <v>8</v>
      </c>
      <c r="AH30" s="174">
        <v>8</v>
      </c>
      <c r="AI30" s="202">
        <v>8</v>
      </c>
      <c r="AJ30" s="188"/>
      <c r="AK30" s="159">
        <f t="shared" si="0"/>
        <v>176</v>
      </c>
      <c r="AL30" s="129">
        <f t="shared" si="1"/>
        <v>152</v>
      </c>
      <c r="AM30" s="130">
        <f t="shared" si="2"/>
        <v>-24</v>
      </c>
      <c r="AO30" s="135">
        <f t="shared" si="5"/>
        <v>25</v>
      </c>
      <c r="AP30" s="108" t="str">
        <f t="shared" si="6"/>
        <v>Ivan Aćimović</v>
      </c>
      <c r="AQ30" s="38" t="str">
        <f t="shared" si="7"/>
        <v>Strug 1</v>
      </c>
      <c r="AR30" s="76">
        <v>15</v>
      </c>
      <c r="AS30" s="22"/>
      <c r="AT30" s="20"/>
      <c r="AU30" s="22"/>
      <c r="AV30" s="36">
        <f t="shared" si="8"/>
        <v>0</v>
      </c>
      <c r="AW30" s="36"/>
      <c r="AX30" s="36">
        <f t="shared" si="10"/>
        <v>0</v>
      </c>
      <c r="AY30" s="22"/>
      <c r="AZ30" s="23"/>
    </row>
    <row r="31" spans="1:52" ht="15" thickBot="1" x14ac:dyDescent="0.35">
      <c r="A31" s="135">
        <v>26</v>
      </c>
      <c r="B31" s="126" t="s">
        <v>91</v>
      </c>
      <c r="C31" s="142" t="s">
        <v>86</v>
      </c>
      <c r="D31" s="142" t="s">
        <v>87</v>
      </c>
      <c r="E31" s="220">
        <v>12</v>
      </c>
      <c r="F31" s="151">
        <v>4</v>
      </c>
      <c r="G31" s="148">
        <v>10</v>
      </c>
      <c r="H31" s="147">
        <f t="shared" si="4"/>
        <v>-4.3339999999999996</v>
      </c>
      <c r="I31" s="188"/>
      <c r="J31" s="192">
        <v>8</v>
      </c>
      <c r="K31" s="123">
        <v>8</v>
      </c>
      <c r="L31" s="123">
        <v>8</v>
      </c>
      <c r="M31" s="123">
        <v>8</v>
      </c>
      <c r="N31" s="201">
        <v>8</v>
      </c>
      <c r="O31" s="197"/>
      <c r="P31" s="163"/>
      <c r="Q31" s="192">
        <v>8</v>
      </c>
      <c r="R31" s="123">
        <v>8</v>
      </c>
      <c r="S31" s="123">
        <v>8</v>
      </c>
      <c r="T31" s="123">
        <v>8</v>
      </c>
      <c r="U31" s="201">
        <v>8</v>
      </c>
      <c r="V31" s="197"/>
      <c r="W31" s="163"/>
      <c r="X31" s="225" t="s">
        <v>196</v>
      </c>
      <c r="Y31" s="226" t="s">
        <v>196</v>
      </c>
      <c r="Z31" s="123">
        <v>8</v>
      </c>
      <c r="AA31" s="123">
        <v>8</v>
      </c>
      <c r="AB31" s="201">
        <v>8</v>
      </c>
      <c r="AC31" s="197" t="s">
        <v>66</v>
      </c>
      <c r="AD31" s="163"/>
      <c r="AE31" s="193">
        <v>8</v>
      </c>
      <c r="AF31" s="232">
        <v>8</v>
      </c>
      <c r="AG31" s="174">
        <v>8</v>
      </c>
      <c r="AH31" s="174">
        <v>8</v>
      </c>
      <c r="AI31" s="202">
        <v>8</v>
      </c>
      <c r="AJ31" s="188"/>
      <c r="AK31" s="159">
        <f t="shared" si="0"/>
        <v>176</v>
      </c>
      <c r="AL31" s="129">
        <f t="shared" si="1"/>
        <v>144</v>
      </c>
      <c r="AM31" s="130">
        <f t="shared" si="2"/>
        <v>-32</v>
      </c>
      <c r="AO31" s="135">
        <f t="shared" si="5"/>
        <v>26</v>
      </c>
      <c r="AP31" s="108" t="str">
        <f t="shared" si="6"/>
        <v>David Zivic</v>
      </c>
      <c r="AQ31" s="38" t="str">
        <f t="shared" si="7"/>
        <v>Rodicut - Demontaža L3</v>
      </c>
      <c r="AR31" s="76">
        <v>23</v>
      </c>
      <c r="AS31" s="22"/>
      <c r="AT31" s="20"/>
      <c r="AU31" s="22"/>
      <c r="AV31" s="36">
        <f t="shared" si="8"/>
        <v>0</v>
      </c>
      <c r="AW31" s="36"/>
      <c r="AX31" s="36">
        <f t="shared" si="10"/>
        <v>1</v>
      </c>
      <c r="AY31" s="22"/>
      <c r="AZ31" s="23"/>
    </row>
    <row r="32" spans="1:52" ht="15" thickBot="1" x14ac:dyDescent="0.35">
      <c r="A32" s="135">
        <v>27</v>
      </c>
      <c r="B32" s="126" t="s">
        <v>92</v>
      </c>
      <c r="C32" s="142" t="s">
        <v>86</v>
      </c>
      <c r="D32" s="142" t="s">
        <v>87</v>
      </c>
      <c r="E32" s="148">
        <v>18</v>
      </c>
      <c r="F32" s="151">
        <v>0</v>
      </c>
      <c r="G32" s="148">
        <v>20</v>
      </c>
      <c r="H32" s="147">
        <f t="shared" si="4"/>
        <v>3.6659999999999999</v>
      </c>
      <c r="I32" s="188"/>
      <c r="J32" s="192">
        <v>8</v>
      </c>
      <c r="K32" s="123">
        <v>8</v>
      </c>
      <c r="L32" s="123">
        <v>8</v>
      </c>
      <c r="M32" s="123">
        <v>8</v>
      </c>
      <c r="N32" s="201">
        <v>8</v>
      </c>
      <c r="O32" s="197"/>
      <c r="P32" s="163"/>
      <c r="Q32" s="192">
        <v>8</v>
      </c>
      <c r="R32" s="123">
        <v>8</v>
      </c>
      <c r="S32" s="123">
        <v>8</v>
      </c>
      <c r="T32" s="123">
        <v>8</v>
      </c>
      <c r="U32" s="201">
        <v>8</v>
      </c>
      <c r="V32" s="197">
        <v>8</v>
      </c>
      <c r="W32" s="163"/>
      <c r="X32" s="225" t="s">
        <v>196</v>
      </c>
      <c r="Y32" s="225" t="s">
        <v>196</v>
      </c>
      <c r="Z32" s="123">
        <v>8</v>
      </c>
      <c r="AA32" s="123">
        <v>8</v>
      </c>
      <c r="AB32" s="201">
        <v>8</v>
      </c>
      <c r="AC32" s="197">
        <v>8</v>
      </c>
      <c r="AD32" s="163"/>
      <c r="AE32" s="192">
        <v>8</v>
      </c>
      <c r="AF32" s="231">
        <v>8</v>
      </c>
      <c r="AG32" s="123">
        <v>8</v>
      </c>
      <c r="AH32" s="123">
        <v>8</v>
      </c>
      <c r="AI32" s="201" t="s">
        <v>110</v>
      </c>
      <c r="AJ32" s="188"/>
      <c r="AK32" s="159">
        <f t="shared" si="0"/>
        <v>176</v>
      </c>
      <c r="AL32" s="129">
        <f t="shared" si="1"/>
        <v>152</v>
      </c>
      <c r="AM32" s="130">
        <f t="shared" si="2"/>
        <v>-24</v>
      </c>
      <c r="AO32" s="135">
        <f t="shared" si="5"/>
        <v>27</v>
      </c>
      <c r="AP32" s="108" t="str">
        <f t="shared" si="6"/>
        <v>Dejan Jović</v>
      </c>
      <c r="AQ32" s="38" t="str">
        <f t="shared" si="7"/>
        <v>Rodicut - Demontaža L3</v>
      </c>
      <c r="AR32" s="76">
        <v>14</v>
      </c>
      <c r="AS32" s="20"/>
      <c r="AT32" s="20"/>
      <c r="AU32" s="22"/>
      <c r="AV32" s="36">
        <f t="shared" si="8"/>
        <v>1</v>
      </c>
      <c r="AW32" s="36"/>
      <c r="AX32" s="36">
        <v>4</v>
      </c>
      <c r="AY32" s="22" t="s">
        <v>33</v>
      </c>
      <c r="AZ32" s="23"/>
    </row>
    <row r="33" spans="1:52" ht="15" thickBot="1" x14ac:dyDescent="0.35">
      <c r="A33" s="135">
        <v>28</v>
      </c>
      <c r="B33" s="126" t="s">
        <v>93</v>
      </c>
      <c r="C33" s="142" t="s">
        <v>94</v>
      </c>
      <c r="D33" s="142" t="s">
        <v>62</v>
      </c>
      <c r="E33" s="219">
        <v>20</v>
      </c>
      <c r="F33" s="151">
        <v>1</v>
      </c>
      <c r="G33" s="148">
        <v>20</v>
      </c>
      <c r="H33" s="147">
        <f t="shared" si="4"/>
        <v>0.66599999999999993</v>
      </c>
      <c r="I33" s="188"/>
      <c r="J33" s="192">
        <v>8</v>
      </c>
      <c r="K33" s="123">
        <v>8</v>
      </c>
      <c r="L33" s="123">
        <v>8</v>
      </c>
      <c r="M33" s="123">
        <v>8</v>
      </c>
      <c r="N33" s="201">
        <v>8</v>
      </c>
      <c r="O33" s="197"/>
      <c r="P33" s="163"/>
      <c r="Q33" s="193">
        <v>8</v>
      </c>
      <c r="R33" s="174">
        <v>8</v>
      </c>
      <c r="S33" s="174">
        <v>8</v>
      </c>
      <c r="T33" s="174">
        <v>8</v>
      </c>
      <c r="U33" s="202">
        <v>8</v>
      </c>
      <c r="V33" s="197"/>
      <c r="W33" s="163"/>
      <c r="X33" s="225" t="s">
        <v>110</v>
      </c>
      <c r="Y33" s="225" t="s">
        <v>110</v>
      </c>
      <c r="Z33" s="192" t="s">
        <v>110</v>
      </c>
      <c r="AA33" s="192" t="s">
        <v>110</v>
      </c>
      <c r="AB33" s="192" t="s">
        <v>110</v>
      </c>
      <c r="AC33" s="197"/>
      <c r="AD33" s="163"/>
      <c r="AE33" s="192" t="s">
        <v>110</v>
      </c>
      <c r="AF33" s="231" t="s">
        <v>110</v>
      </c>
      <c r="AG33" s="123" t="s">
        <v>110</v>
      </c>
      <c r="AH33" s="123" t="s">
        <v>110</v>
      </c>
      <c r="AI33" s="201" t="s">
        <v>110</v>
      </c>
      <c r="AJ33" s="188"/>
      <c r="AK33" s="160">
        <f t="shared" si="0"/>
        <v>176</v>
      </c>
      <c r="AL33" s="129">
        <f t="shared" si="1"/>
        <v>80</v>
      </c>
      <c r="AM33" s="130">
        <f t="shared" si="2"/>
        <v>-96</v>
      </c>
      <c r="AO33" s="135">
        <f t="shared" si="5"/>
        <v>28</v>
      </c>
      <c r="AP33" s="108" t="str">
        <f t="shared" si="6"/>
        <v>Aleksandar Milošević</v>
      </c>
      <c r="AQ33" s="38" t="str">
        <f t="shared" si="7"/>
        <v>Livenje L4</v>
      </c>
      <c r="AR33" s="76">
        <v>8</v>
      </c>
      <c r="AS33" s="20"/>
      <c r="AT33" s="20"/>
      <c r="AU33" s="22"/>
      <c r="AV33" s="36">
        <f t="shared" si="8"/>
        <v>10</v>
      </c>
      <c r="AW33" s="36" t="s">
        <v>95</v>
      </c>
      <c r="AX33" s="36">
        <f>(COUNTIF(K33:AJ33,"go")*8+COUNTIF(K33:AJ33,"sd")*8)/8</f>
        <v>0</v>
      </c>
      <c r="AY33" s="22" t="s">
        <v>96</v>
      </c>
      <c r="AZ33" s="23"/>
    </row>
    <row r="34" spans="1:52" ht="15" thickBot="1" x14ac:dyDescent="0.35">
      <c r="A34" s="135">
        <v>29</v>
      </c>
      <c r="B34" s="126" t="s">
        <v>97</v>
      </c>
      <c r="C34" s="142" t="s">
        <v>98</v>
      </c>
      <c r="D34" s="142" t="s">
        <v>99</v>
      </c>
      <c r="E34" s="219">
        <v>20</v>
      </c>
      <c r="F34" s="151">
        <v>1</v>
      </c>
      <c r="G34" s="148">
        <v>20</v>
      </c>
      <c r="H34" s="147">
        <f t="shared" si="4"/>
        <v>0.66599999999999993</v>
      </c>
      <c r="I34" s="188"/>
      <c r="J34" s="192">
        <v>8</v>
      </c>
      <c r="K34" s="123">
        <v>8</v>
      </c>
      <c r="L34" s="123">
        <v>8</v>
      </c>
      <c r="M34" s="123">
        <v>8</v>
      </c>
      <c r="N34" s="201">
        <v>8</v>
      </c>
      <c r="O34" s="197"/>
      <c r="P34" s="163"/>
      <c r="Q34" s="192">
        <v>8</v>
      </c>
      <c r="R34" s="123">
        <v>8</v>
      </c>
      <c r="S34" s="123">
        <v>8</v>
      </c>
      <c r="T34" s="123">
        <v>8</v>
      </c>
      <c r="U34" s="201">
        <v>8</v>
      </c>
      <c r="V34" s="197">
        <v>8</v>
      </c>
      <c r="W34" s="163"/>
      <c r="X34" s="225" t="s">
        <v>196</v>
      </c>
      <c r="Y34" s="226" t="s">
        <v>196</v>
      </c>
      <c r="Z34" s="123">
        <v>8</v>
      </c>
      <c r="AA34" s="123">
        <v>8</v>
      </c>
      <c r="AB34" s="201">
        <v>8</v>
      </c>
      <c r="AC34" s="197">
        <v>8</v>
      </c>
      <c r="AD34" s="163"/>
      <c r="AE34" s="192">
        <v>6</v>
      </c>
      <c r="AF34" s="231">
        <v>8</v>
      </c>
      <c r="AG34" s="123">
        <v>8</v>
      </c>
      <c r="AH34" s="123">
        <v>8</v>
      </c>
      <c r="AI34" s="201">
        <v>8</v>
      </c>
      <c r="AJ34" s="188"/>
      <c r="AK34" s="160">
        <f t="shared" si="0"/>
        <v>176</v>
      </c>
      <c r="AL34" s="129">
        <f t="shared" si="1"/>
        <v>158</v>
      </c>
      <c r="AM34" s="130">
        <f t="shared" si="2"/>
        <v>-18</v>
      </c>
      <c r="AO34" s="135">
        <f t="shared" si="5"/>
        <v>29</v>
      </c>
      <c r="AP34" s="108" t="str">
        <f t="shared" si="6"/>
        <v>Darko Golubović</v>
      </c>
      <c r="AQ34" s="38" t="str">
        <f t="shared" si="7"/>
        <v>Demontaža L4</v>
      </c>
      <c r="AR34" s="76">
        <v>23</v>
      </c>
      <c r="AS34" s="20"/>
      <c r="AT34" s="20"/>
      <c r="AU34" s="22"/>
      <c r="AV34" s="36">
        <f t="shared" si="8"/>
        <v>0</v>
      </c>
      <c r="AW34" s="36"/>
      <c r="AX34" s="36">
        <f>(COUNTIF(K34:AJ34,"go")*8+COUNTIF(K34:AJ34,"sd")*8)/8</f>
        <v>0</v>
      </c>
      <c r="AY34" s="22"/>
      <c r="AZ34" s="23"/>
    </row>
    <row r="35" spans="1:52" ht="15" thickBot="1" x14ac:dyDescent="0.35">
      <c r="A35" s="135">
        <v>30</v>
      </c>
      <c r="B35" s="126" t="s">
        <v>100</v>
      </c>
      <c r="C35" s="142" t="s">
        <v>101</v>
      </c>
      <c r="D35" s="142" t="s">
        <v>90</v>
      </c>
      <c r="E35" s="220">
        <v>21</v>
      </c>
      <c r="F35" s="151">
        <v>4</v>
      </c>
      <c r="G35" s="148">
        <v>20</v>
      </c>
      <c r="H35" s="147">
        <f t="shared" si="4"/>
        <v>-3.3340000000000001</v>
      </c>
      <c r="I35" s="188"/>
      <c r="J35" s="193">
        <v>8</v>
      </c>
      <c r="K35" s="174">
        <v>8</v>
      </c>
      <c r="L35" s="174">
        <v>8</v>
      </c>
      <c r="M35" s="174">
        <v>8</v>
      </c>
      <c r="N35" s="202">
        <v>8</v>
      </c>
      <c r="O35" s="197"/>
      <c r="P35" s="163"/>
      <c r="Q35" s="192">
        <v>8</v>
      </c>
      <c r="R35" s="123">
        <v>8</v>
      </c>
      <c r="S35" s="123">
        <v>8</v>
      </c>
      <c r="T35" s="123">
        <v>8</v>
      </c>
      <c r="U35" s="201">
        <v>8</v>
      </c>
      <c r="V35" s="197"/>
      <c r="W35" s="163"/>
      <c r="X35" s="225" t="s">
        <v>196</v>
      </c>
      <c r="Y35" s="226" t="s">
        <v>196</v>
      </c>
      <c r="Z35" s="123">
        <v>8</v>
      </c>
      <c r="AA35" s="123">
        <v>8</v>
      </c>
      <c r="AB35" s="201">
        <v>8</v>
      </c>
      <c r="AC35" s="197">
        <v>8</v>
      </c>
      <c r="AD35" s="163"/>
      <c r="AE35" s="193" t="s">
        <v>66</v>
      </c>
      <c r="AF35" s="232">
        <v>8</v>
      </c>
      <c r="AG35" s="174">
        <v>8</v>
      </c>
      <c r="AH35" s="174">
        <v>8</v>
      </c>
      <c r="AI35" s="202">
        <v>8</v>
      </c>
      <c r="AJ35" s="188"/>
      <c r="AK35" s="160">
        <f t="shared" si="0"/>
        <v>176</v>
      </c>
      <c r="AL35" s="129">
        <f t="shared" si="1"/>
        <v>144</v>
      </c>
      <c r="AM35" s="130">
        <f t="shared" si="2"/>
        <v>-32</v>
      </c>
      <c r="AO35" s="135">
        <f t="shared" si="5"/>
        <v>30</v>
      </c>
      <c r="AP35" s="108" t="str">
        <f t="shared" si="6"/>
        <v>Darko Životić</v>
      </c>
      <c r="AQ35" s="38" t="str">
        <f t="shared" si="7"/>
        <v>Aurora L4 - strug</v>
      </c>
      <c r="AR35" s="76">
        <v>14</v>
      </c>
      <c r="AS35" s="20"/>
      <c r="AT35" s="20"/>
      <c r="AU35" s="22"/>
      <c r="AV35" s="36">
        <f t="shared" si="8"/>
        <v>0</v>
      </c>
      <c r="AW35" s="36"/>
      <c r="AX35" s="36">
        <f>(COUNTIF(K35:AJ35,"go")*8+COUNTIF(K35:AJ35,"sd")*8)/8</f>
        <v>1</v>
      </c>
      <c r="AY35" s="22" t="s">
        <v>53</v>
      </c>
      <c r="AZ35" s="23"/>
    </row>
    <row r="36" spans="1:52" ht="15" thickBot="1" x14ac:dyDescent="0.35">
      <c r="A36" s="135">
        <v>31</v>
      </c>
      <c r="B36" s="126" t="s">
        <v>102</v>
      </c>
      <c r="C36" s="142" t="s">
        <v>103</v>
      </c>
      <c r="D36" s="142" t="s">
        <v>104</v>
      </c>
      <c r="E36" s="219">
        <v>20</v>
      </c>
      <c r="F36" s="151">
        <v>1</v>
      </c>
      <c r="G36" s="148">
        <v>20</v>
      </c>
      <c r="H36" s="147">
        <f t="shared" si="4"/>
        <v>0.66599999999999993</v>
      </c>
      <c r="I36" s="188"/>
      <c r="J36" s="192">
        <v>8</v>
      </c>
      <c r="K36" s="123">
        <v>8</v>
      </c>
      <c r="L36" s="123">
        <v>8</v>
      </c>
      <c r="M36" s="123">
        <v>8</v>
      </c>
      <c r="N36" s="201">
        <v>8</v>
      </c>
      <c r="O36" s="197"/>
      <c r="P36" s="163"/>
      <c r="Q36" s="192">
        <v>8</v>
      </c>
      <c r="R36" s="123">
        <v>8</v>
      </c>
      <c r="S36" s="123">
        <v>8</v>
      </c>
      <c r="T36" s="123">
        <v>8</v>
      </c>
      <c r="U36" s="201">
        <v>8</v>
      </c>
      <c r="V36" s="197">
        <v>8</v>
      </c>
      <c r="W36" s="163">
        <v>7</v>
      </c>
      <c r="X36" s="225" t="s">
        <v>196</v>
      </c>
      <c r="Y36" s="226" t="s">
        <v>196</v>
      </c>
      <c r="Z36" s="123">
        <v>8</v>
      </c>
      <c r="AA36" s="123">
        <v>8</v>
      </c>
      <c r="AB36" s="201">
        <v>8</v>
      </c>
      <c r="AC36" s="197">
        <v>8</v>
      </c>
      <c r="AD36" s="163"/>
      <c r="AE36" s="192">
        <v>8</v>
      </c>
      <c r="AF36" s="231">
        <v>8</v>
      </c>
      <c r="AG36" s="123">
        <v>8</v>
      </c>
      <c r="AH36" s="123">
        <v>8</v>
      </c>
      <c r="AI36" s="201">
        <v>8</v>
      </c>
      <c r="AJ36" s="188"/>
      <c r="AK36" s="160">
        <f t="shared" si="0"/>
        <v>176</v>
      </c>
      <c r="AL36" s="129">
        <f t="shared" si="1"/>
        <v>167</v>
      </c>
      <c r="AM36" s="130">
        <f t="shared" si="2"/>
        <v>-9</v>
      </c>
      <c r="AO36" s="135">
        <f t="shared" si="5"/>
        <v>31</v>
      </c>
      <c r="AP36" s="108" t="str">
        <f t="shared" si="6"/>
        <v>Dragana Gvozdić</v>
      </c>
      <c r="AQ36" s="38" t="str">
        <f t="shared" si="7"/>
        <v>Aurora L4</v>
      </c>
      <c r="AR36" s="76">
        <v>19</v>
      </c>
      <c r="AS36" s="20"/>
      <c r="AT36" s="20"/>
      <c r="AU36" s="22"/>
      <c r="AV36" s="36">
        <f t="shared" si="8"/>
        <v>0</v>
      </c>
      <c r="AW36" s="36" t="s">
        <v>105</v>
      </c>
      <c r="AX36" s="36">
        <f>(COUNTIF(K36:AJ36,"go")*8+COUNTIF(K36:AJ36,"sd")*8)/8</f>
        <v>0</v>
      </c>
      <c r="AY36" s="22" t="s">
        <v>106</v>
      </c>
      <c r="AZ36" s="23"/>
    </row>
    <row r="37" spans="1:52" ht="15" thickBot="1" x14ac:dyDescent="0.35">
      <c r="A37" s="135">
        <v>32</v>
      </c>
      <c r="B37" s="126" t="s">
        <v>107</v>
      </c>
      <c r="C37" s="142" t="s">
        <v>108</v>
      </c>
      <c r="D37" s="142" t="s">
        <v>90</v>
      </c>
      <c r="E37" s="148">
        <v>13</v>
      </c>
      <c r="F37" s="151">
        <v>0</v>
      </c>
      <c r="G37" s="148">
        <v>20</v>
      </c>
      <c r="H37" s="147">
        <f t="shared" si="4"/>
        <v>8.6660000000000004</v>
      </c>
      <c r="I37" s="188"/>
      <c r="J37" s="192">
        <v>8</v>
      </c>
      <c r="K37" s="123">
        <v>8</v>
      </c>
      <c r="L37" s="123">
        <v>8</v>
      </c>
      <c r="M37" s="123">
        <v>8</v>
      </c>
      <c r="N37" s="201">
        <v>8</v>
      </c>
      <c r="O37" s="197"/>
      <c r="P37" s="163"/>
      <c r="Q37" s="193">
        <v>8</v>
      </c>
      <c r="R37" s="174">
        <v>8</v>
      </c>
      <c r="S37" s="174">
        <v>8</v>
      </c>
      <c r="T37" s="174">
        <v>8</v>
      </c>
      <c r="U37" s="202">
        <v>8</v>
      </c>
      <c r="V37" s="197"/>
      <c r="W37" s="163"/>
      <c r="X37" s="225" t="s">
        <v>196</v>
      </c>
      <c r="Y37" s="225" t="s">
        <v>196</v>
      </c>
      <c r="Z37" s="123">
        <v>8</v>
      </c>
      <c r="AA37" s="123">
        <v>8</v>
      </c>
      <c r="AB37" s="201">
        <v>8</v>
      </c>
      <c r="AC37" s="197"/>
      <c r="AD37" s="163"/>
      <c r="AE37" s="192">
        <v>8</v>
      </c>
      <c r="AF37" s="231">
        <v>8</v>
      </c>
      <c r="AG37" s="123">
        <v>8</v>
      </c>
      <c r="AH37" s="123">
        <v>8</v>
      </c>
      <c r="AI37" s="201">
        <v>8</v>
      </c>
      <c r="AJ37" s="188"/>
      <c r="AK37" s="158">
        <f t="shared" si="0"/>
        <v>176</v>
      </c>
      <c r="AL37" s="129">
        <f t="shared" si="1"/>
        <v>144</v>
      </c>
      <c r="AM37" s="130">
        <f t="shared" si="2"/>
        <v>-32</v>
      </c>
      <c r="AO37" s="135">
        <f t="shared" si="5"/>
        <v>32</v>
      </c>
      <c r="AP37" s="108" t="str">
        <f t="shared" si="6"/>
        <v>Dragan Ivić</v>
      </c>
      <c r="AQ37" s="38" t="str">
        <f t="shared" si="7"/>
        <v>Strug 2</v>
      </c>
      <c r="AR37" s="76">
        <v>16</v>
      </c>
      <c r="AS37" s="20"/>
      <c r="AT37" s="20"/>
      <c r="AU37" s="22"/>
      <c r="AV37" s="36">
        <f t="shared" si="8"/>
        <v>0</v>
      </c>
      <c r="AW37" s="39"/>
      <c r="AX37" s="36">
        <v>0</v>
      </c>
      <c r="AY37" s="22"/>
      <c r="AZ37" s="23"/>
    </row>
    <row r="38" spans="1:52" ht="15" thickBot="1" x14ac:dyDescent="0.35">
      <c r="A38" s="135">
        <v>33</v>
      </c>
      <c r="B38" s="126" t="s">
        <v>109</v>
      </c>
      <c r="C38" s="142" t="s">
        <v>108</v>
      </c>
      <c r="D38" s="142" t="s">
        <v>90</v>
      </c>
      <c r="E38" s="219">
        <v>20</v>
      </c>
      <c r="F38" s="151">
        <v>4</v>
      </c>
      <c r="G38" s="148">
        <v>20</v>
      </c>
      <c r="H38" s="147">
        <f t="shared" si="4"/>
        <v>-2.3340000000000001</v>
      </c>
      <c r="I38" s="188"/>
      <c r="J38" s="192" t="s">
        <v>110</v>
      </c>
      <c r="K38" s="123" t="s">
        <v>110</v>
      </c>
      <c r="L38" s="123" t="s">
        <v>110</v>
      </c>
      <c r="M38" s="123" t="s">
        <v>110</v>
      </c>
      <c r="N38" s="201" t="s">
        <v>110</v>
      </c>
      <c r="O38" s="197"/>
      <c r="P38" s="163"/>
      <c r="Q38" s="192" t="s">
        <v>110</v>
      </c>
      <c r="R38" s="123" t="s">
        <v>110</v>
      </c>
      <c r="S38" s="123" t="s">
        <v>110</v>
      </c>
      <c r="T38" s="123" t="s">
        <v>110</v>
      </c>
      <c r="U38" s="201" t="s">
        <v>110</v>
      </c>
      <c r="V38" s="197"/>
      <c r="W38" s="163"/>
      <c r="X38" s="225" t="s">
        <v>110</v>
      </c>
      <c r="Y38" s="226" t="s">
        <v>110</v>
      </c>
      <c r="Z38" s="123" t="s">
        <v>110</v>
      </c>
      <c r="AA38" s="123" t="s">
        <v>110</v>
      </c>
      <c r="AB38" s="201" t="s">
        <v>110</v>
      </c>
      <c r="AC38" s="197"/>
      <c r="AD38" s="163"/>
      <c r="AE38" s="192" t="s">
        <v>110</v>
      </c>
      <c r="AF38" s="192" t="s">
        <v>110</v>
      </c>
      <c r="AG38" s="192" t="s">
        <v>110</v>
      </c>
      <c r="AH38" s="192" t="s">
        <v>110</v>
      </c>
      <c r="AI38" s="192" t="s">
        <v>110</v>
      </c>
      <c r="AJ38" s="188"/>
      <c r="AK38" s="158">
        <f t="shared" ref="AK38:AK58" si="11">22*8</f>
        <v>176</v>
      </c>
      <c r="AL38" s="129">
        <f t="shared" ref="AL38:AL57" si="12">SUM(I38:AJ38)</f>
        <v>0</v>
      </c>
      <c r="AM38" s="130">
        <f t="shared" ref="AM38:AM57" si="13">AL38-AK38</f>
        <v>-176</v>
      </c>
      <c r="AO38" s="135">
        <f t="shared" si="5"/>
        <v>33</v>
      </c>
      <c r="AP38" s="108" t="str">
        <f t="shared" si="6"/>
        <v>Đorđe Stojković</v>
      </c>
      <c r="AQ38" s="38" t="str">
        <f t="shared" si="7"/>
        <v>Strug 2</v>
      </c>
      <c r="AR38" s="76">
        <v>12</v>
      </c>
      <c r="AS38" s="20"/>
      <c r="AT38" s="20"/>
      <c r="AU38" s="22"/>
      <c r="AV38" s="36">
        <v>8</v>
      </c>
      <c r="AW38" s="36" t="s">
        <v>50</v>
      </c>
      <c r="AX38" s="36">
        <v>3</v>
      </c>
      <c r="AY38" s="22" t="s">
        <v>111</v>
      </c>
      <c r="AZ38" s="23"/>
    </row>
    <row r="39" spans="1:52" ht="15" thickBot="1" x14ac:dyDescent="0.35">
      <c r="A39" s="135">
        <v>34</v>
      </c>
      <c r="B39" s="126" t="s">
        <v>112</v>
      </c>
      <c r="C39" s="142" t="s">
        <v>113</v>
      </c>
      <c r="D39" s="142" t="s">
        <v>72</v>
      </c>
      <c r="E39" s="220">
        <v>12</v>
      </c>
      <c r="F39" s="151">
        <v>5</v>
      </c>
      <c r="G39" s="148">
        <v>10</v>
      </c>
      <c r="H39" s="147">
        <f t="shared" si="4"/>
        <v>-5.3339999999999996</v>
      </c>
      <c r="I39" s="188"/>
      <c r="J39" s="192">
        <v>8</v>
      </c>
      <c r="K39" s="123">
        <v>8</v>
      </c>
      <c r="L39" s="123">
        <v>8</v>
      </c>
      <c r="M39" s="123">
        <v>8</v>
      </c>
      <c r="N39" s="201">
        <v>8</v>
      </c>
      <c r="O39" s="197"/>
      <c r="P39" s="163"/>
      <c r="Q39" s="193">
        <v>8</v>
      </c>
      <c r="R39" s="174">
        <v>8</v>
      </c>
      <c r="S39" s="174">
        <v>8</v>
      </c>
      <c r="T39" s="174">
        <v>8</v>
      </c>
      <c r="U39" s="202">
        <v>8</v>
      </c>
      <c r="V39" s="197"/>
      <c r="W39" s="163"/>
      <c r="X39" s="225" t="s">
        <v>196</v>
      </c>
      <c r="Y39" s="225" t="s">
        <v>196</v>
      </c>
      <c r="Z39" s="123">
        <v>8</v>
      </c>
      <c r="AA39" s="123">
        <v>8</v>
      </c>
      <c r="AB39" s="201">
        <v>8</v>
      </c>
      <c r="AC39" s="197">
        <v>8</v>
      </c>
      <c r="AD39" s="163"/>
      <c r="AE39" s="192">
        <v>8</v>
      </c>
      <c r="AF39" s="231">
        <v>8</v>
      </c>
      <c r="AG39" s="123">
        <v>8</v>
      </c>
      <c r="AH39" s="123">
        <v>8</v>
      </c>
      <c r="AI39" s="201">
        <v>8</v>
      </c>
      <c r="AJ39" s="188"/>
      <c r="AK39" s="158">
        <f t="shared" si="11"/>
        <v>176</v>
      </c>
      <c r="AL39" s="129">
        <f t="shared" si="12"/>
        <v>152</v>
      </c>
      <c r="AM39" s="130">
        <f t="shared" si="13"/>
        <v>-24</v>
      </c>
      <c r="AO39" s="135">
        <f t="shared" si="5"/>
        <v>34</v>
      </c>
      <c r="AP39" s="108" t="str">
        <f t="shared" si="6"/>
        <v>Vlajković Stefan</v>
      </c>
      <c r="AQ39" s="38" t="str">
        <f t="shared" si="7"/>
        <v>Rodicut - Livenje</v>
      </c>
      <c r="AR39" s="76">
        <v>21</v>
      </c>
      <c r="AS39" s="20"/>
      <c r="AT39" s="20"/>
      <c r="AU39" s="22"/>
      <c r="AV39" s="36">
        <v>0</v>
      </c>
      <c r="AW39" s="36"/>
      <c r="AX39" s="36">
        <v>2</v>
      </c>
      <c r="AY39" s="22" t="s">
        <v>115</v>
      </c>
      <c r="AZ39" s="23"/>
    </row>
    <row r="40" spans="1:52" ht="15" thickBot="1" x14ac:dyDescent="0.35">
      <c r="A40" s="135">
        <v>35</v>
      </c>
      <c r="B40" s="126" t="s">
        <v>116</v>
      </c>
      <c r="C40" s="142" t="s">
        <v>117</v>
      </c>
      <c r="D40" s="142" t="s">
        <v>118</v>
      </c>
      <c r="E40" s="148">
        <v>19</v>
      </c>
      <c r="F40" s="151">
        <v>0</v>
      </c>
      <c r="G40" s="148">
        <v>20</v>
      </c>
      <c r="H40" s="147">
        <f t="shared" si="4"/>
        <v>2.6659999999999999</v>
      </c>
      <c r="I40" s="188"/>
      <c r="J40" s="192">
        <v>8</v>
      </c>
      <c r="K40" s="123" t="s">
        <v>110</v>
      </c>
      <c r="L40" s="123">
        <v>8</v>
      </c>
      <c r="M40" s="123">
        <v>8</v>
      </c>
      <c r="N40" s="201">
        <v>8</v>
      </c>
      <c r="O40" s="197"/>
      <c r="P40" s="163"/>
      <c r="Q40" s="192">
        <v>8</v>
      </c>
      <c r="R40" s="123">
        <v>8</v>
      </c>
      <c r="S40" s="123">
        <v>8</v>
      </c>
      <c r="T40" s="123">
        <v>8</v>
      </c>
      <c r="U40" s="201">
        <v>8</v>
      </c>
      <c r="V40" s="197"/>
      <c r="W40" s="163"/>
      <c r="X40" s="225" t="s">
        <v>196</v>
      </c>
      <c r="Y40" s="226" t="s">
        <v>196</v>
      </c>
      <c r="Z40" s="123">
        <v>8</v>
      </c>
      <c r="AA40" s="123">
        <v>8</v>
      </c>
      <c r="AB40" s="201">
        <v>8</v>
      </c>
      <c r="AC40" s="197">
        <v>8</v>
      </c>
      <c r="AD40" s="163"/>
      <c r="AE40" s="193" t="s">
        <v>110</v>
      </c>
      <c r="AF40" s="232" t="s">
        <v>110</v>
      </c>
      <c r="AG40" s="174" t="s">
        <v>110</v>
      </c>
      <c r="AH40" s="174" t="s">
        <v>110</v>
      </c>
      <c r="AI40" s="202" t="s">
        <v>110</v>
      </c>
      <c r="AJ40" s="188"/>
      <c r="AK40" s="158">
        <f t="shared" si="11"/>
        <v>176</v>
      </c>
      <c r="AL40" s="129">
        <f t="shared" si="12"/>
        <v>104</v>
      </c>
      <c r="AM40" s="130">
        <f t="shared" si="13"/>
        <v>-72</v>
      </c>
      <c r="AO40" s="135">
        <f t="shared" si="5"/>
        <v>35</v>
      </c>
      <c r="AP40" s="108" t="str">
        <f t="shared" si="6"/>
        <v>Stefan Mitrović</v>
      </c>
      <c r="AQ40" s="38" t="str">
        <f t="shared" si="7"/>
        <v>Matiranje</v>
      </c>
      <c r="AR40" s="76">
        <v>16</v>
      </c>
      <c r="AS40" s="20"/>
      <c r="AT40" s="20"/>
      <c r="AU40" s="22"/>
      <c r="AV40" s="36">
        <f t="shared" ref="AV40:AV46" si="14">COUNTIF(K40:AJ40,"bo")</f>
        <v>6</v>
      </c>
      <c r="AW40" s="36"/>
      <c r="AX40" s="36">
        <v>2</v>
      </c>
      <c r="AY40" s="22" t="s">
        <v>119</v>
      </c>
      <c r="AZ40" s="23"/>
    </row>
    <row r="41" spans="1:52" ht="15" thickBot="1" x14ac:dyDescent="0.35">
      <c r="A41" s="135">
        <v>36</v>
      </c>
      <c r="B41" s="126" t="s">
        <v>120</v>
      </c>
      <c r="C41" s="142" t="s">
        <v>121</v>
      </c>
      <c r="D41" s="142" t="s">
        <v>122</v>
      </c>
      <c r="E41" s="220">
        <v>22</v>
      </c>
      <c r="F41" s="151">
        <v>4</v>
      </c>
      <c r="G41" s="148">
        <v>20</v>
      </c>
      <c r="H41" s="147">
        <f t="shared" si="4"/>
        <v>-4.3339999999999996</v>
      </c>
      <c r="I41" s="188"/>
      <c r="J41" s="192" t="s">
        <v>66</v>
      </c>
      <c r="K41" s="123">
        <v>8</v>
      </c>
      <c r="L41" s="123">
        <v>8</v>
      </c>
      <c r="M41" s="123">
        <v>8</v>
      </c>
      <c r="N41" s="201">
        <v>8</v>
      </c>
      <c r="O41" s="197">
        <v>8</v>
      </c>
      <c r="P41" s="163"/>
      <c r="Q41" s="192">
        <v>8</v>
      </c>
      <c r="R41" s="123">
        <v>8</v>
      </c>
      <c r="S41" s="123">
        <v>8</v>
      </c>
      <c r="T41" s="123">
        <v>8</v>
      </c>
      <c r="U41" s="201">
        <v>8</v>
      </c>
      <c r="V41" s="197">
        <v>8</v>
      </c>
      <c r="W41" s="163"/>
      <c r="X41" s="225" t="s">
        <v>196</v>
      </c>
      <c r="Y41" s="225" t="s">
        <v>196</v>
      </c>
      <c r="Z41" s="123">
        <v>8</v>
      </c>
      <c r="AA41" s="123">
        <v>8</v>
      </c>
      <c r="AB41" s="201">
        <v>8</v>
      </c>
      <c r="AC41" s="197">
        <v>8</v>
      </c>
      <c r="AD41" s="163"/>
      <c r="AE41" s="192">
        <v>8</v>
      </c>
      <c r="AF41" s="231">
        <v>8</v>
      </c>
      <c r="AG41" s="123">
        <v>8</v>
      </c>
      <c r="AH41" s="123">
        <v>8</v>
      </c>
      <c r="AI41" s="201">
        <v>8</v>
      </c>
      <c r="AJ41" s="188">
        <v>8</v>
      </c>
      <c r="AK41" s="158">
        <f t="shared" si="11"/>
        <v>176</v>
      </c>
      <c r="AL41" s="129">
        <f t="shared" si="12"/>
        <v>168</v>
      </c>
      <c r="AM41" s="130">
        <f t="shared" si="13"/>
        <v>-8</v>
      </c>
      <c r="AO41" s="135">
        <f t="shared" si="5"/>
        <v>36</v>
      </c>
      <c r="AP41" s="108" t="str">
        <f t="shared" si="6"/>
        <v>Marijan Stanković</v>
      </c>
      <c r="AQ41" s="38" t="str">
        <f t="shared" si="7"/>
        <v>Presa 2</v>
      </c>
      <c r="AR41" s="76">
        <v>23</v>
      </c>
      <c r="AS41" s="20"/>
      <c r="AT41" s="22"/>
      <c r="AU41" s="22"/>
      <c r="AV41" s="36">
        <f t="shared" si="14"/>
        <v>0</v>
      </c>
      <c r="AW41" s="36"/>
      <c r="AX41" s="36">
        <f>(COUNTIF(K41:AJ41,"go")*8+COUNTIF(K41:AJ41,"sd")*8)/8</f>
        <v>0</v>
      </c>
      <c r="AY41" s="22"/>
      <c r="AZ41" s="23"/>
    </row>
    <row r="42" spans="1:52" ht="15" thickBot="1" x14ac:dyDescent="0.35">
      <c r="A42" s="135">
        <v>37</v>
      </c>
      <c r="B42" s="126" t="s">
        <v>123</v>
      </c>
      <c r="C42" s="142" t="s">
        <v>124</v>
      </c>
      <c r="D42" s="142" t="s">
        <v>125</v>
      </c>
      <c r="E42" s="148">
        <v>19</v>
      </c>
      <c r="F42" s="151">
        <v>0</v>
      </c>
      <c r="G42" s="148">
        <v>20</v>
      </c>
      <c r="H42" s="147">
        <f t="shared" si="4"/>
        <v>2.6659999999999999</v>
      </c>
      <c r="I42" s="188"/>
      <c r="J42" s="192">
        <v>8</v>
      </c>
      <c r="K42" s="123">
        <v>8</v>
      </c>
      <c r="L42" s="123">
        <v>8</v>
      </c>
      <c r="M42" s="123">
        <v>8</v>
      </c>
      <c r="N42" s="201">
        <v>8</v>
      </c>
      <c r="O42" s="197"/>
      <c r="P42" s="163"/>
      <c r="Q42" s="192">
        <v>8</v>
      </c>
      <c r="R42" s="123">
        <v>8</v>
      </c>
      <c r="S42" s="123">
        <v>8</v>
      </c>
      <c r="T42" s="123">
        <v>8</v>
      </c>
      <c r="U42" s="201">
        <v>8</v>
      </c>
      <c r="V42" s="197">
        <v>8</v>
      </c>
      <c r="W42" s="163"/>
      <c r="X42" s="225" t="s">
        <v>196</v>
      </c>
      <c r="Y42" s="226" t="s">
        <v>196</v>
      </c>
      <c r="Z42" s="123">
        <v>8</v>
      </c>
      <c r="AA42" s="123">
        <v>8</v>
      </c>
      <c r="AB42" s="201">
        <v>8</v>
      </c>
      <c r="AC42" s="197">
        <v>8</v>
      </c>
      <c r="AD42" s="163"/>
      <c r="AE42" s="192">
        <v>8</v>
      </c>
      <c r="AF42" s="231">
        <v>8</v>
      </c>
      <c r="AG42" s="123">
        <v>8</v>
      </c>
      <c r="AH42" s="123">
        <v>8</v>
      </c>
      <c r="AI42" s="201">
        <v>8</v>
      </c>
      <c r="AJ42" s="188"/>
      <c r="AK42" s="158">
        <f t="shared" si="11"/>
        <v>176</v>
      </c>
      <c r="AL42" s="129">
        <f t="shared" si="12"/>
        <v>160</v>
      </c>
      <c r="AM42" s="130">
        <f t="shared" si="13"/>
        <v>-16</v>
      </c>
      <c r="AO42" s="135">
        <f t="shared" si="5"/>
        <v>37</v>
      </c>
      <c r="AP42" s="108" t="str">
        <f t="shared" si="6"/>
        <v>Biljana Atanacković</v>
      </c>
      <c r="AQ42" s="38" t="str">
        <f t="shared" si="7"/>
        <v>Presa 2 - pakovanje</v>
      </c>
      <c r="AR42" s="76">
        <v>23</v>
      </c>
      <c r="AS42" s="20"/>
      <c r="AT42" s="22"/>
      <c r="AU42" s="22"/>
      <c r="AV42" s="36">
        <f t="shared" si="14"/>
        <v>0</v>
      </c>
      <c r="AW42" s="36"/>
      <c r="AX42" s="36">
        <f>(COUNTIF(K42:AJ42,"go")*8+COUNTIF(K42:AJ42,"sd")*8)/8</f>
        <v>0</v>
      </c>
      <c r="AY42" s="22"/>
      <c r="AZ42" s="23"/>
    </row>
    <row r="43" spans="1:52" ht="15" thickBot="1" x14ac:dyDescent="0.35">
      <c r="A43" s="135">
        <v>38</v>
      </c>
      <c r="B43" s="126" t="s">
        <v>126</v>
      </c>
      <c r="C43" s="142" t="s">
        <v>124</v>
      </c>
      <c r="D43" s="142" t="s">
        <v>122</v>
      </c>
      <c r="E43" s="220">
        <v>12</v>
      </c>
      <c r="F43" s="151">
        <v>4</v>
      </c>
      <c r="G43" s="148">
        <v>10</v>
      </c>
      <c r="H43" s="147">
        <f t="shared" si="4"/>
        <v>-4.3339999999999996</v>
      </c>
      <c r="I43" s="188"/>
      <c r="J43" s="192">
        <v>8</v>
      </c>
      <c r="K43" s="123">
        <v>8</v>
      </c>
      <c r="L43" s="123">
        <v>8</v>
      </c>
      <c r="M43" s="123">
        <v>8</v>
      </c>
      <c r="N43" s="201">
        <v>8</v>
      </c>
      <c r="O43" s="197"/>
      <c r="P43" s="163"/>
      <c r="Q43" s="192">
        <v>8</v>
      </c>
      <c r="R43" s="123">
        <v>8</v>
      </c>
      <c r="S43" s="123">
        <v>8</v>
      </c>
      <c r="T43" s="123">
        <v>8</v>
      </c>
      <c r="U43" s="201">
        <v>8</v>
      </c>
      <c r="V43" s="197"/>
      <c r="W43" s="163"/>
      <c r="X43" s="225" t="s">
        <v>196</v>
      </c>
      <c r="Y43" s="226" t="s">
        <v>196</v>
      </c>
      <c r="Z43" s="123">
        <v>8</v>
      </c>
      <c r="AA43" s="123">
        <v>8</v>
      </c>
      <c r="AB43" s="201">
        <v>8</v>
      </c>
      <c r="AC43" s="197">
        <v>8</v>
      </c>
      <c r="AD43" s="163"/>
      <c r="AE43" s="192">
        <v>8</v>
      </c>
      <c r="AF43" s="231">
        <v>8</v>
      </c>
      <c r="AG43" s="123">
        <v>8</v>
      </c>
      <c r="AH43" s="123">
        <v>8</v>
      </c>
      <c r="AI43" s="202">
        <v>8</v>
      </c>
      <c r="AJ43" s="188"/>
      <c r="AK43" s="158">
        <f t="shared" si="11"/>
        <v>176</v>
      </c>
      <c r="AL43" s="129">
        <f t="shared" si="12"/>
        <v>152</v>
      </c>
      <c r="AM43" s="130">
        <f t="shared" si="13"/>
        <v>-24</v>
      </c>
      <c r="AO43" s="135">
        <f t="shared" si="5"/>
        <v>38</v>
      </c>
      <c r="AP43" s="108" t="str">
        <f t="shared" si="6"/>
        <v>Stefan Nikolic</v>
      </c>
      <c r="AQ43" s="38" t="str">
        <f t="shared" si="7"/>
        <v>Presa 2 - pakovanje</v>
      </c>
      <c r="AR43" s="76">
        <v>23</v>
      </c>
      <c r="AS43" s="20"/>
      <c r="AT43" s="22"/>
      <c r="AU43" s="22"/>
      <c r="AV43" s="36">
        <f t="shared" si="14"/>
        <v>0</v>
      </c>
      <c r="AW43" s="36"/>
      <c r="AX43" s="36">
        <f>(COUNTIF(K43:AJ43,"go")*8+COUNTIF(K43:AJ43,"sd")*8)/8</f>
        <v>0</v>
      </c>
      <c r="AY43" s="22"/>
      <c r="AZ43" s="23"/>
    </row>
    <row r="44" spans="1:52" ht="15" thickBot="1" x14ac:dyDescent="0.35">
      <c r="A44" s="135">
        <v>39</v>
      </c>
      <c r="B44" s="126" t="s">
        <v>127</v>
      </c>
      <c r="C44" s="142" t="s">
        <v>128</v>
      </c>
      <c r="D44" s="142" t="s">
        <v>129</v>
      </c>
      <c r="E44" s="148">
        <v>16</v>
      </c>
      <c r="F44" s="151">
        <v>0</v>
      </c>
      <c r="G44" s="148">
        <v>20</v>
      </c>
      <c r="H44" s="147">
        <f t="shared" si="4"/>
        <v>5.6660000000000004</v>
      </c>
      <c r="I44" s="188"/>
      <c r="J44" s="192">
        <v>8</v>
      </c>
      <c r="K44" s="123">
        <v>8</v>
      </c>
      <c r="L44" s="123">
        <v>8</v>
      </c>
      <c r="M44" s="123">
        <v>8</v>
      </c>
      <c r="N44" s="201">
        <v>8</v>
      </c>
      <c r="O44" s="197"/>
      <c r="P44" s="163"/>
      <c r="Q44" s="192">
        <v>8</v>
      </c>
      <c r="R44" s="123">
        <v>8</v>
      </c>
      <c r="S44" s="123">
        <v>8</v>
      </c>
      <c r="T44" s="123">
        <v>8</v>
      </c>
      <c r="U44" s="201">
        <v>8</v>
      </c>
      <c r="V44" s="197">
        <v>12</v>
      </c>
      <c r="W44" s="163"/>
      <c r="X44" s="225" t="s">
        <v>196</v>
      </c>
      <c r="Y44" s="226" t="s">
        <v>196</v>
      </c>
      <c r="Z44" s="123">
        <v>8</v>
      </c>
      <c r="AA44" s="123">
        <v>8</v>
      </c>
      <c r="AB44" s="201">
        <v>8</v>
      </c>
      <c r="AC44" s="197">
        <v>11</v>
      </c>
      <c r="AD44" s="163"/>
      <c r="AE44" s="192">
        <v>8</v>
      </c>
      <c r="AF44" s="231">
        <v>8</v>
      </c>
      <c r="AG44" s="123">
        <v>8</v>
      </c>
      <c r="AH44" s="123">
        <v>8</v>
      </c>
      <c r="AI44" s="201">
        <v>8</v>
      </c>
      <c r="AJ44" s="188">
        <v>8</v>
      </c>
      <c r="AK44" s="158">
        <f t="shared" si="11"/>
        <v>176</v>
      </c>
      <c r="AL44" s="129">
        <f t="shared" si="12"/>
        <v>175</v>
      </c>
      <c r="AM44" s="130">
        <f t="shared" si="13"/>
        <v>-1</v>
      </c>
      <c r="AO44" s="135">
        <f t="shared" si="5"/>
        <v>39</v>
      </c>
      <c r="AP44" s="108" t="str">
        <f t="shared" si="6"/>
        <v>Milan Savić</v>
      </c>
      <c r="AQ44" s="38" t="str">
        <f t="shared" si="7"/>
        <v>Priprema mrežica</v>
      </c>
      <c r="AR44" s="76">
        <v>22</v>
      </c>
      <c r="AS44" s="20"/>
      <c r="AT44" s="22"/>
      <c r="AU44" s="22"/>
      <c r="AV44" s="36">
        <f t="shared" si="14"/>
        <v>0</v>
      </c>
      <c r="AW44" s="36"/>
      <c r="AX44" s="36">
        <f>(COUNTIF(K44:AJ44,"go")*8+COUNTIF(K44:AJ44,"sd")*8)/8</f>
        <v>0</v>
      </c>
      <c r="AY44" s="22" t="s">
        <v>130</v>
      </c>
      <c r="AZ44" s="23"/>
    </row>
    <row r="45" spans="1:52" ht="15" thickBot="1" x14ac:dyDescent="0.35">
      <c r="A45" s="135">
        <v>40</v>
      </c>
      <c r="B45" s="126" t="s">
        <v>131</v>
      </c>
      <c r="C45" s="142" t="s">
        <v>128</v>
      </c>
      <c r="D45" s="142" t="s">
        <v>129</v>
      </c>
      <c r="E45" s="148">
        <v>10</v>
      </c>
      <c r="F45" s="151">
        <v>0</v>
      </c>
      <c r="G45" s="148">
        <v>20</v>
      </c>
      <c r="H45" s="147">
        <f t="shared" si="4"/>
        <v>11.666</v>
      </c>
      <c r="I45" s="188"/>
      <c r="J45" s="192" t="s">
        <v>110</v>
      </c>
      <c r="K45" s="122" t="s">
        <v>110</v>
      </c>
      <c r="L45" s="122" t="s">
        <v>110</v>
      </c>
      <c r="M45" s="122" t="s">
        <v>110</v>
      </c>
      <c r="N45" s="203" t="s">
        <v>110</v>
      </c>
      <c r="O45" s="197"/>
      <c r="P45" s="163"/>
      <c r="Q45" s="192" t="s">
        <v>110</v>
      </c>
      <c r="R45" s="123" t="s">
        <v>110</v>
      </c>
      <c r="S45" s="123" t="s">
        <v>110</v>
      </c>
      <c r="T45" s="123" t="s">
        <v>110</v>
      </c>
      <c r="U45" s="201" t="s">
        <v>110</v>
      </c>
      <c r="V45" s="197"/>
      <c r="W45" s="163"/>
      <c r="X45" s="225" t="s">
        <v>110</v>
      </c>
      <c r="Y45" s="226" t="s">
        <v>110</v>
      </c>
      <c r="Z45" s="123" t="s">
        <v>110</v>
      </c>
      <c r="AA45" s="123" t="s">
        <v>110</v>
      </c>
      <c r="AB45" s="201" t="s">
        <v>110</v>
      </c>
      <c r="AC45" s="197"/>
      <c r="AD45" s="163"/>
      <c r="AE45" s="192" t="s">
        <v>110</v>
      </c>
      <c r="AF45" s="192" t="s">
        <v>110</v>
      </c>
      <c r="AG45" s="192" t="s">
        <v>110</v>
      </c>
      <c r="AH45" s="192" t="s">
        <v>110</v>
      </c>
      <c r="AI45" s="192" t="s">
        <v>110</v>
      </c>
      <c r="AJ45" s="188"/>
      <c r="AK45" s="158">
        <f t="shared" si="11"/>
        <v>176</v>
      </c>
      <c r="AL45" s="129">
        <f t="shared" si="12"/>
        <v>0</v>
      </c>
      <c r="AM45" s="130">
        <f t="shared" si="13"/>
        <v>-176</v>
      </c>
      <c r="AO45" s="135">
        <f t="shared" ref="AO45:AP47" si="15">A45</f>
        <v>40</v>
      </c>
      <c r="AP45" s="108" t="str">
        <f t="shared" si="15"/>
        <v>Jovo Ivaneža</v>
      </c>
      <c r="AQ45" s="38"/>
      <c r="AR45" s="76">
        <v>23</v>
      </c>
      <c r="AS45" s="22"/>
      <c r="AT45" s="22"/>
      <c r="AU45" s="22"/>
      <c r="AV45" s="36">
        <f t="shared" si="14"/>
        <v>19</v>
      </c>
      <c r="AW45" s="36"/>
      <c r="AX45" s="36">
        <f>(COUNTIF(K45:AJ45,"go")*8+COUNTIF(K45:AJ45,"sd")*8)/8</f>
        <v>0</v>
      </c>
      <c r="AY45" s="22"/>
      <c r="AZ45" s="23"/>
    </row>
    <row r="46" spans="1:52" ht="15" thickBot="1" x14ac:dyDescent="0.35">
      <c r="A46" s="135">
        <v>41</v>
      </c>
      <c r="B46" s="126" t="s">
        <v>132</v>
      </c>
      <c r="C46" s="143" t="s">
        <v>133</v>
      </c>
      <c r="D46" s="142" t="s">
        <v>134</v>
      </c>
      <c r="E46" s="220">
        <v>11</v>
      </c>
      <c r="F46" s="151">
        <v>4</v>
      </c>
      <c r="G46" s="148">
        <v>10</v>
      </c>
      <c r="H46" s="147">
        <f t="shared" si="4"/>
        <v>-3.3340000000000001</v>
      </c>
      <c r="I46" s="188"/>
      <c r="J46" s="192">
        <v>8</v>
      </c>
      <c r="K46" s="123">
        <v>8</v>
      </c>
      <c r="L46" s="123">
        <v>8</v>
      </c>
      <c r="M46" s="123">
        <v>8</v>
      </c>
      <c r="N46" s="201">
        <v>8</v>
      </c>
      <c r="O46" s="197"/>
      <c r="P46" s="163"/>
      <c r="Q46" s="192">
        <v>8</v>
      </c>
      <c r="R46" s="123">
        <v>8</v>
      </c>
      <c r="S46" s="123">
        <v>8</v>
      </c>
      <c r="T46" s="123">
        <v>8</v>
      </c>
      <c r="U46" s="201">
        <v>8</v>
      </c>
      <c r="V46" s="197"/>
      <c r="W46" s="163"/>
      <c r="X46" s="225" t="s">
        <v>196</v>
      </c>
      <c r="Y46" s="226" t="s">
        <v>196</v>
      </c>
      <c r="Z46" s="123">
        <v>8</v>
      </c>
      <c r="AA46" s="123">
        <v>8</v>
      </c>
      <c r="AB46" s="201">
        <v>8</v>
      </c>
      <c r="AC46" s="197">
        <v>9</v>
      </c>
      <c r="AD46" s="163"/>
      <c r="AE46" s="192">
        <v>8</v>
      </c>
      <c r="AF46" s="231">
        <v>8</v>
      </c>
      <c r="AG46" s="123">
        <v>8</v>
      </c>
      <c r="AH46" s="123">
        <v>8</v>
      </c>
      <c r="AI46" s="201"/>
      <c r="AJ46" s="188"/>
      <c r="AK46" s="158">
        <f t="shared" si="11"/>
        <v>176</v>
      </c>
      <c r="AL46" s="129">
        <f t="shared" si="12"/>
        <v>145</v>
      </c>
      <c r="AM46" s="130">
        <f t="shared" si="13"/>
        <v>-31</v>
      </c>
      <c r="AO46" s="135">
        <f t="shared" si="15"/>
        <v>41</v>
      </c>
      <c r="AP46" s="108" t="str">
        <f t="shared" si="15"/>
        <v>Lazar Petrović</v>
      </c>
      <c r="AQ46" s="38" t="str">
        <f>C46</f>
        <v xml:space="preserve">Rodicut - Livenje L3 </v>
      </c>
      <c r="AR46" s="76">
        <v>23</v>
      </c>
      <c r="AS46" s="22"/>
      <c r="AT46" s="22"/>
      <c r="AU46" s="22"/>
      <c r="AV46" s="36">
        <f t="shared" si="14"/>
        <v>0</v>
      </c>
      <c r="AW46" s="36"/>
      <c r="AX46" s="36">
        <v>0</v>
      </c>
      <c r="AY46" s="22"/>
      <c r="AZ46" s="23"/>
    </row>
    <row r="47" spans="1:52" ht="15" thickBot="1" x14ac:dyDescent="0.35">
      <c r="A47" s="135">
        <v>42</v>
      </c>
      <c r="B47" s="126" t="s">
        <v>135</v>
      </c>
      <c r="C47" s="143" t="s">
        <v>136</v>
      </c>
      <c r="D47" s="142" t="s">
        <v>134</v>
      </c>
      <c r="E47" s="219">
        <v>13</v>
      </c>
      <c r="F47" s="151">
        <v>2</v>
      </c>
      <c r="G47" s="148">
        <v>13</v>
      </c>
      <c r="H47" s="147">
        <f t="shared" si="4"/>
        <v>-0.33400000000000007</v>
      </c>
      <c r="I47" s="188"/>
      <c r="J47" s="192">
        <v>8</v>
      </c>
      <c r="K47" s="123">
        <v>8</v>
      </c>
      <c r="L47" s="123">
        <v>8</v>
      </c>
      <c r="M47" s="123">
        <v>8</v>
      </c>
      <c r="N47" s="201" t="s">
        <v>66</v>
      </c>
      <c r="O47" s="197"/>
      <c r="P47" s="163"/>
      <c r="Q47" s="192">
        <v>8</v>
      </c>
      <c r="R47" s="123">
        <v>8</v>
      </c>
      <c r="S47" s="123">
        <v>8</v>
      </c>
      <c r="T47" s="123">
        <v>8</v>
      </c>
      <c r="U47" s="201">
        <v>8</v>
      </c>
      <c r="V47" s="197">
        <v>8</v>
      </c>
      <c r="W47" s="163"/>
      <c r="X47" s="225" t="s">
        <v>196</v>
      </c>
      <c r="Y47" s="225" t="s">
        <v>196</v>
      </c>
      <c r="Z47" s="123">
        <v>8</v>
      </c>
      <c r="AA47" s="123">
        <v>8</v>
      </c>
      <c r="AB47" s="201">
        <v>8</v>
      </c>
      <c r="AC47" s="197">
        <v>4</v>
      </c>
      <c r="AD47" s="163"/>
      <c r="AE47" s="192">
        <v>8</v>
      </c>
      <c r="AF47" s="231">
        <v>8</v>
      </c>
      <c r="AG47" s="123">
        <v>8</v>
      </c>
      <c r="AH47" s="123">
        <v>8</v>
      </c>
      <c r="AI47" s="201">
        <v>8</v>
      </c>
      <c r="AJ47" s="188">
        <v>8</v>
      </c>
      <c r="AK47" s="158">
        <f t="shared" si="11"/>
        <v>176</v>
      </c>
      <c r="AL47" s="129">
        <f t="shared" si="12"/>
        <v>156</v>
      </c>
      <c r="AM47" s="130">
        <f t="shared" si="13"/>
        <v>-20</v>
      </c>
      <c r="AO47" s="135">
        <f t="shared" si="15"/>
        <v>42</v>
      </c>
      <c r="AP47" s="108" t="str">
        <f t="shared" si="15"/>
        <v>Nenad Pantić</v>
      </c>
      <c r="AQ47" s="38" t="str">
        <f>C47</f>
        <v>Compact - Demontaža</v>
      </c>
      <c r="AR47" s="76">
        <v>14</v>
      </c>
      <c r="AS47" s="20"/>
      <c r="AT47" s="20"/>
      <c r="AU47" s="22"/>
      <c r="AV47" s="36">
        <v>4</v>
      </c>
      <c r="AW47" s="36" t="s">
        <v>137</v>
      </c>
      <c r="AX47" s="36">
        <f>(COUNTIF(K47:AJ47,"go")*8+COUNTIF(K47:AJ47,"sd")*8)/8</f>
        <v>1</v>
      </c>
      <c r="AY47" s="22"/>
      <c r="AZ47" s="23"/>
    </row>
    <row r="48" spans="1:52" ht="15" thickBot="1" x14ac:dyDescent="0.35">
      <c r="A48" s="135">
        <v>43</v>
      </c>
      <c r="B48" s="126" t="s">
        <v>138</v>
      </c>
      <c r="C48" s="143" t="s">
        <v>136</v>
      </c>
      <c r="D48" s="142" t="s">
        <v>72</v>
      </c>
      <c r="E48" s="220">
        <v>12</v>
      </c>
      <c r="F48" s="151">
        <v>4</v>
      </c>
      <c r="G48" s="148">
        <v>8</v>
      </c>
      <c r="H48" s="147">
        <f t="shared" si="4"/>
        <v>-6.3339999999999996</v>
      </c>
      <c r="I48" s="188"/>
      <c r="J48" s="192">
        <v>8</v>
      </c>
      <c r="K48" s="123">
        <v>8</v>
      </c>
      <c r="L48" s="123">
        <v>8</v>
      </c>
      <c r="M48" s="123">
        <v>8</v>
      </c>
      <c r="N48" s="201">
        <v>8</v>
      </c>
      <c r="O48" s="197"/>
      <c r="P48" s="163"/>
      <c r="Q48" s="193">
        <v>8</v>
      </c>
      <c r="R48" s="174">
        <v>8</v>
      </c>
      <c r="S48" s="174">
        <v>8</v>
      </c>
      <c r="T48" s="174">
        <v>8</v>
      </c>
      <c r="U48" s="202">
        <v>8</v>
      </c>
      <c r="V48" s="197"/>
      <c r="W48" s="163"/>
      <c r="X48" s="225" t="s">
        <v>196</v>
      </c>
      <c r="Y48" s="225" t="s">
        <v>196</v>
      </c>
      <c r="Z48" s="123">
        <v>8</v>
      </c>
      <c r="AA48" s="123">
        <v>8</v>
      </c>
      <c r="AB48" s="201">
        <v>8</v>
      </c>
      <c r="AC48" s="197">
        <v>8</v>
      </c>
      <c r="AD48" s="163"/>
      <c r="AE48" s="192">
        <v>8</v>
      </c>
      <c r="AF48" s="231">
        <v>8</v>
      </c>
      <c r="AG48" s="123">
        <v>8</v>
      </c>
      <c r="AH48" s="123">
        <v>8</v>
      </c>
      <c r="AI48" s="201">
        <v>8</v>
      </c>
      <c r="AJ48" s="188"/>
      <c r="AK48" s="158">
        <f t="shared" si="11"/>
        <v>176</v>
      </c>
      <c r="AL48" s="129">
        <f t="shared" si="12"/>
        <v>152</v>
      </c>
      <c r="AM48" s="130">
        <f t="shared" si="13"/>
        <v>-24</v>
      </c>
      <c r="AO48" s="136">
        <v>53</v>
      </c>
      <c r="AP48" s="131" t="s">
        <v>138</v>
      </c>
      <c r="AQ48" s="22"/>
      <c r="AR48" s="70">
        <v>14</v>
      </c>
      <c r="AS48" s="20"/>
      <c r="AT48" s="20"/>
      <c r="AU48" s="22"/>
      <c r="AV48" s="20">
        <v>6</v>
      </c>
      <c r="AW48" s="20" t="s">
        <v>139</v>
      </c>
      <c r="AX48" s="22"/>
      <c r="AY48" s="22"/>
      <c r="AZ48" s="23"/>
    </row>
    <row r="49" spans="1:52" ht="15" thickBot="1" x14ac:dyDescent="0.35">
      <c r="A49" s="135">
        <v>44</v>
      </c>
      <c r="B49" s="126" t="s">
        <v>140</v>
      </c>
      <c r="C49" s="142" t="s">
        <v>69</v>
      </c>
      <c r="D49" s="142" t="s">
        <v>72</v>
      </c>
      <c r="E49" s="148">
        <v>0</v>
      </c>
      <c r="F49" s="151">
        <v>0</v>
      </c>
      <c r="G49" s="148">
        <v>3</v>
      </c>
      <c r="H49" s="147">
        <f t="shared" si="4"/>
        <v>4.6660000000000004</v>
      </c>
      <c r="I49" s="188"/>
      <c r="J49" s="192">
        <v>8</v>
      </c>
      <c r="K49" s="123">
        <v>8</v>
      </c>
      <c r="L49" s="123">
        <v>8</v>
      </c>
      <c r="M49" s="123">
        <v>8</v>
      </c>
      <c r="N49" s="201">
        <v>8</v>
      </c>
      <c r="O49" s="197"/>
      <c r="P49" s="163"/>
      <c r="Q49" s="192">
        <v>8</v>
      </c>
      <c r="R49" s="123">
        <v>8</v>
      </c>
      <c r="S49" s="123">
        <v>8</v>
      </c>
      <c r="T49" s="123">
        <v>8</v>
      </c>
      <c r="U49" s="201">
        <v>8</v>
      </c>
      <c r="V49" s="197"/>
      <c r="W49" s="162"/>
      <c r="X49" s="225" t="s">
        <v>196</v>
      </c>
      <c r="Y49" s="226" t="s">
        <v>196</v>
      </c>
      <c r="Z49" s="174">
        <v>8</v>
      </c>
      <c r="AA49" s="174">
        <v>8</v>
      </c>
      <c r="AB49" s="202">
        <v>8</v>
      </c>
      <c r="AC49" s="197"/>
      <c r="AD49" s="163"/>
      <c r="AE49" s="192">
        <v>8</v>
      </c>
      <c r="AF49" s="231">
        <v>8</v>
      </c>
      <c r="AG49" s="123">
        <v>8</v>
      </c>
      <c r="AH49" s="171">
        <v>8</v>
      </c>
      <c r="AI49" s="201">
        <v>8</v>
      </c>
      <c r="AJ49" s="188"/>
      <c r="AK49" s="158">
        <f t="shared" si="11"/>
        <v>176</v>
      </c>
      <c r="AL49" s="129">
        <f t="shared" si="12"/>
        <v>144</v>
      </c>
      <c r="AM49" s="130">
        <f t="shared" si="13"/>
        <v>-32</v>
      </c>
      <c r="AO49" s="136">
        <v>56</v>
      </c>
      <c r="AP49" s="131" t="s">
        <v>140</v>
      </c>
      <c r="AQ49" s="22"/>
      <c r="AR49" s="70">
        <v>10</v>
      </c>
      <c r="AS49" s="20"/>
      <c r="AT49" s="20"/>
      <c r="AU49" s="22"/>
      <c r="AV49" s="22"/>
      <c r="AW49" s="22"/>
      <c r="AX49" s="22"/>
      <c r="AY49" s="22"/>
      <c r="AZ49" s="23"/>
    </row>
    <row r="50" spans="1:52" ht="15" thickBot="1" x14ac:dyDescent="0.35">
      <c r="A50" s="135">
        <v>45</v>
      </c>
      <c r="B50" s="126" t="s">
        <v>144</v>
      </c>
      <c r="C50" s="142" t="s">
        <v>145</v>
      </c>
      <c r="D50" s="142" t="s">
        <v>72</v>
      </c>
      <c r="E50" s="219">
        <v>5</v>
      </c>
      <c r="F50" s="151">
        <v>1</v>
      </c>
      <c r="G50" s="148">
        <v>5</v>
      </c>
      <c r="H50" s="147">
        <f t="shared" si="4"/>
        <v>0.66599999999999993</v>
      </c>
      <c r="I50" s="188"/>
      <c r="J50" s="192">
        <v>8</v>
      </c>
      <c r="K50" s="123">
        <v>8</v>
      </c>
      <c r="L50" s="123">
        <v>8</v>
      </c>
      <c r="M50" s="123">
        <v>8</v>
      </c>
      <c r="N50" s="201">
        <v>8</v>
      </c>
      <c r="O50" s="197"/>
      <c r="P50" s="163"/>
      <c r="Q50" s="192">
        <v>8</v>
      </c>
      <c r="R50" s="123">
        <v>8</v>
      </c>
      <c r="S50" s="123">
        <v>8</v>
      </c>
      <c r="T50" s="123">
        <v>8</v>
      </c>
      <c r="U50" s="201">
        <v>8</v>
      </c>
      <c r="V50" s="197"/>
      <c r="W50" s="163"/>
      <c r="X50" s="225" t="s">
        <v>196</v>
      </c>
      <c r="Y50" s="226" t="s">
        <v>196</v>
      </c>
      <c r="Z50" s="174">
        <v>8</v>
      </c>
      <c r="AA50" s="174">
        <v>8</v>
      </c>
      <c r="AB50" s="202">
        <v>8</v>
      </c>
      <c r="AC50" s="197"/>
      <c r="AD50" s="163"/>
      <c r="AE50" s="192">
        <v>8</v>
      </c>
      <c r="AF50" s="231">
        <v>8</v>
      </c>
      <c r="AG50" s="123">
        <v>8</v>
      </c>
      <c r="AH50" s="123">
        <v>8</v>
      </c>
      <c r="AI50" s="201">
        <v>8</v>
      </c>
      <c r="AJ50" s="188"/>
      <c r="AK50" s="158">
        <f t="shared" si="11"/>
        <v>176</v>
      </c>
      <c r="AL50" s="129">
        <f t="shared" si="12"/>
        <v>144</v>
      </c>
      <c r="AM50" s="130">
        <f t="shared" si="13"/>
        <v>-32</v>
      </c>
      <c r="AO50" s="136">
        <v>59</v>
      </c>
      <c r="AP50" s="131" t="s">
        <v>144</v>
      </c>
      <c r="AQ50" s="22"/>
      <c r="AR50" s="70">
        <v>18</v>
      </c>
      <c r="AS50" s="22"/>
      <c r="AT50" s="20"/>
      <c r="AU50" s="22"/>
      <c r="AV50" s="22"/>
      <c r="AW50" s="22"/>
      <c r="AX50" s="22"/>
      <c r="AY50" s="22"/>
      <c r="AZ50" s="23"/>
    </row>
    <row r="51" spans="1:52" ht="15" thickBot="1" x14ac:dyDescent="0.35">
      <c r="A51" s="135">
        <v>46</v>
      </c>
      <c r="B51" s="126" t="s">
        <v>146</v>
      </c>
      <c r="C51" s="142" t="s">
        <v>145</v>
      </c>
      <c r="D51" s="142" t="s">
        <v>57</v>
      </c>
      <c r="E51" s="219">
        <v>3</v>
      </c>
      <c r="F51" s="151">
        <v>2</v>
      </c>
      <c r="G51" s="148">
        <v>3</v>
      </c>
      <c r="H51" s="147">
        <f t="shared" si="4"/>
        <v>-0.33400000000000007</v>
      </c>
      <c r="I51" s="188"/>
      <c r="J51" s="193">
        <v>8</v>
      </c>
      <c r="K51" s="174">
        <v>8</v>
      </c>
      <c r="L51" s="174">
        <v>8</v>
      </c>
      <c r="M51" s="174">
        <v>8</v>
      </c>
      <c r="N51" s="202">
        <v>8</v>
      </c>
      <c r="O51" s="197"/>
      <c r="P51" s="163"/>
      <c r="Q51" s="192">
        <v>8</v>
      </c>
      <c r="R51" s="123">
        <v>8</v>
      </c>
      <c r="S51" s="123">
        <v>8</v>
      </c>
      <c r="T51" s="123">
        <v>8</v>
      </c>
      <c r="U51" s="201">
        <v>8</v>
      </c>
      <c r="V51" s="197"/>
      <c r="W51" s="163"/>
      <c r="X51" s="225" t="s">
        <v>196</v>
      </c>
      <c r="Y51" s="226" t="s">
        <v>196</v>
      </c>
      <c r="Z51" s="123">
        <v>8</v>
      </c>
      <c r="AA51" s="123">
        <v>8</v>
      </c>
      <c r="AB51" s="201" t="s">
        <v>110</v>
      </c>
      <c r="AC51" s="197" t="s">
        <v>110</v>
      </c>
      <c r="AD51" s="163"/>
      <c r="AE51" s="192" t="s">
        <v>110</v>
      </c>
      <c r="AF51" s="231" t="s">
        <v>110</v>
      </c>
      <c r="AG51" s="123" t="s">
        <v>110</v>
      </c>
      <c r="AH51" s="123" t="s">
        <v>110</v>
      </c>
      <c r="AI51" s="201" t="s">
        <v>110</v>
      </c>
      <c r="AJ51" s="188"/>
      <c r="AK51" s="158">
        <f t="shared" si="11"/>
        <v>176</v>
      </c>
      <c r="AL51" s="129">
        <f t="shared" si="12"/>
        <v>96</v>
      </c>
      <c r="AM51" s="130">
        <f t="shared" si="13"/>
        <v>-80</v>
      </c>
      <c r="AO51" s="136">
        <v>60</v>
      </c>
      <c r="AP51" s="131" t="s">
        <v>146</v>
      </c>
      <c r="AQ51" s="22"/>
      <c r="AR51" s="70">
        <v>5</v>
      </c>
      <c r="AS51" s="22"/>
      <c r="AT51" s="22"/>
      <c r="AU51" s="22"/>
      <c r="AV51" s="22"/>
      <c r="AW51" s="22"/>
      <c r="AX51" s="22"/>
      <c r="AY51" s="22"/>
      <c r="AZ51" s="23"/>
    </row>
    <row r="52" spans="1:52" ht="15" thickBot="1" x14ac:dyDescent="0.35">
      <c r="A52" s="135">
        <v>47</v>
      </c>
      <c r="B52" s="126" t="s">
        <v>147</v>
      </c>
      <c r="C52" s="142" t="s">
        <v>148</v>
      </c>
      <c r="D52" s="142" t="s">
        <v>122</v>
      </c>
      <c r="E52" s="219">
        <v>3</v>
      </c>
      <c r="F52" s="151">
        <v>2</v>
      </c>
      <c r="G52" s="148">
        <v>3</v>
      </c>
      <c r="H52" s="147">
        <f t="shared" si="4"/>
        <v>-0.33400000000000007</v>
      </c>
      <c r="I52" s="188"/>
      <c r="J52" s="192">
        <v>8</v>
      </c>
      <c r="K52" s="123">
        <v>8</v>
      </c>
      <c r="L52" s="123">
        <v>8</v>
      </c>
      <c r="M52" s="123">
        <v>8</v>
      </c>
      <c r="N52" s="201">
        <v>8</v>
      </c>
      <c r="O52" s="197">
        <v>8</v>
      </c>
      <c r="P52" s="163"/>
      <c r="Q52" s="192">
        <v>8</v>
      </c>
      <c r="R52" s="123">
        <v>8</v>
      </c>
      <c r="S52" s="123">
        <v>8</v>
      </c>
      <c r="T52" s="123">
        <v>8</v>
      </c>
      <c r="U52" s="201">
        <v>8</v>
      </c>
      <c r="V52" s="197">
        <v>8</v>
      </c>
      <c r="W52" s="163"/>
      <c r="X52" s="225" t="s">
        <v>196</v>
      </c>
      <c r="Y52" s="225" t="s">
        <v>196</v>
      </c>
      <c r="Z52" s="123">
        <v>8</v>
      </c>
      <c r="AA52" s="123">
        <v>8</v>
      </c>
      <c r="AB52" s="201">
        <v>8</v>
      </c>
      <c r="AC52" s="197"/>
      <c r="AD52" s="163"/>
      <c r="AE52" s="192">
        <v>8</v>
      </c>
      <c r="AF52" s="231">
        <v>8</v>
      </c>
      <c r="AG52" s="123">
        <v>8</v>
      </c>
      <c r="AH52" s="123">
        <v>8</v>
      </c>
      <c r="AI52" s="201" t="s">
        <v>66</v>
      </c>
      <c r="AJ52" s="188"/>
      <c r="AK52" s="158">
        <f t="shared" si="11"/>
        <v>176</v>
      </c>
      <c r="AL52" s="129">
        <f t="shared" si="12"/>
        <v>152</v>
      </c>
      <c r="AM52" s="130">
        <f t="shared" si="13"/>
        <v>-24</v>
      </c>
      <c r="AO52" s="136">
        <v>61</v>
      </c>
      <c r="AP52" s="131" t="s">
        <v>147</v>
      </c>
      <c r="AQ52" s="22"/>
      <c r="AR52" s="70">
        <v>5</v>
      </c>
      <c r="AS52" s="22"/>
      <c r="AT52" s="22"/>
      <c r="AU52" s="22"/>
      <c r="AV52" s="22"/>
      <c r="AW52" s="22"/>
      <c r="AX52" s="22"/>
      <c r="AY52" s="22"/>
      <c r="AZ52" s="23"/>
    </row>
    <row r="53" spans="1:52" ht="15" thickBot="1" x14ac:dyDescent="0.35">
      <c r="A53" s="135">
        <v>48</v>
      </c>
      <c r="B53" s="126" t="s">
        <v>149</v>
      </c>
      <c r="C53" s="142" t="s">
        <v>150</v>
      </c>
      <c r="D53" s="142" t="s">
        <v>90</v>
      </c>
      <c r="E53" s="219">
        <v>2</v>
      </c>
      <c r="F53" s="151">
        <v>5</v>
      </c>
      <c r="G53" s="148">
        <v>2</v>
      </c>
      <c r="H53" s="147">
        <f t="shared" si="4"/>
        <v>-3.3340000000000001</v>
      </c>
      <c r="I53" s="188"/>
      <c r="J53" s="192">
        <v>8</v>
      </c>
      <c r="K53" s="123">
        <v>8</v>
      </c>
      <c r="L53" s="123">
        <v>8</v>
      </c>
      <c r="M53" s="123">
        <v>8</v>
      </c>
      <c r="N53" s="201">
        <v>8</v>
      </c>
      <c r="O53" s="197"/>
      <c r="P53" s="163"/>
      <c r="Q53" s="192">
        <v>8</v>
      </c>
      <c r="R53" s="123">
        <v>8</v>
      </c>
      <c r="S53" s="123">
        <v>8</v>
      </c>
      <c r="T53" s="123">
        <v>8</v>
      </c>
      <c r="U53" s="201">
        <v>8</v>
      </c>
      <c r="V53" s="197">
        <v>8</v>
      </c>
      <c r="W53" s="163"/>
      <c r="X53" s="225" t="s">
        <v>196</v>
      </c>
      <c r="Y53" s="226" t="s">
        <v>196</v>
      </c>
      <c r="Z53" s="174">
        <v>8</v>
      </c>
      <c r="AA53" s="174">
        <v>8</v>
      </c>
      <c r="AB53" s="202">
        <v>8</v>
      </c>
      <c r="AC53" s="197"/>
      <c r="AD53" s="163"/>
      <c r="AE53" s="192">
        <v>8</v>
      </c>
      <c r="AF53" s="231">
        <v>8</v>
      </c>
      <c r="AG53" s="123">
        <v>8</v>
      </c>
      <c r="AH53" s="123">
        <v>8</v>
      </c>
      <c r="AI53" s="201">
        <v>8</v>
      </c>
      <c r="AJ53" s="188"/>
      <c r="AK53" s="158">
        <f t="shared" si="11"/>
        <v>176</v>
      </c>
      <c r="AL53" s="129">
        <f t="shared" si="12"/>
        <v>152</v>
      </c>
      <c r="AM53" s="130">
        <f t="shared" si="13"/>
        <v>-24</v>
      </c>
      <c r="AO53" s="137"/>
      <c r="AP53" s="109"/>
      <c r="AQ53" s="22"/>
      <c r="AR53" s="22"/>
      <c r="AS53" s="22"/>
      <c r="AT53" s="22"/>
      <c r="AU53" s="22"/>
      <c r="AV53" s="22"/>
      <c r="AW53" s="22"/>
      <c r="AX53" s="22"/>
      <c r="AY53" s="22"/>
      <c r="AZ53" s="23"/>
    </row>
    <row r="54" spans="1:52" ht="15" thickBot="1" x14ac:dyDescent="0.35">
      <c r="A54" s="135">
        <v>49</v>
      </c>
      <c r="B54" s="126" t="s">
        <v>151</v>
      </c>
      <c r="C54" s="142" t="s">
        <v>145</v>
      </c>
      <c r="D54" s="142" t="s">
        <v>72</v>
      </c>
      <c r="E54" s="220">
        <v>1</v>
      </c>
      <c r="F54" s="151">
        <v>4</v>
      </c>
      <c r="G54" s="148">
        <v>0</v>
      </c>
      <c r="H54" s="147">
        <f t="shared" si="4"/>
        <v>-3.3340000000000001</v>
      </c>
      <c r="I54" s="188"/>
      <c r="J54" s="193">
        <v>8</v>
      </c>
      <c r="K54" s="174">
        <v>1</v>
      </c>
      <c r="L54" s="174" t="s">
        <v>110</v>
      </c>
      <c r="M54" s="174" t="s">
        <v>110</v>
      </c>
      <c r="N54" s="202" t="s">
        <v>110</v>
      </c>
      <c r="O54" s="197"/>
      <c r="P54" s="163"/>
      <c r="Q54" s="192" t="s">
        <v>110</v>
      </c>
      <c r="R54" s="123" t="s">
        <v>110</v>
      </c>
      <c r="S54" s="123" t="s">
        <v>110</v>
      </c>
      <c r="T54" s="123">
        <v>8</v>
      </c>
      <c r="U54" s="201">
        <v>8</v>
      </c>
      <c r="V54" s="197"/>
      <c r="W54" s="163"/>
      <c r="X54" s="225" t="s">
        <v>196</v>
      </c>
      <c r="Y54" s="226" t="s">
        <v>196</v>
      </c>
      <c r="Z54" s="123">
        <v>8</v>
      </c>
      <c r="AA54" s="123">
        <v>8</v>
      </c>
      <c r="AB54" s="201" t="s">
        <v>66</v>
      </c>
      <c r="AC54" s="197">
        <v>8</v>
      </c>
      <c r="AD54" s="163"/>
      <c r="AE54" s="193">
        <v>8</v>
      </c>
      <c r="AF54" s="232">
        <v>8</v>
      </c>
      <c r="AG54" s="174">
        <v>8</v>
      </c>
      <c r="AH54" s="174">
        <v>8</v>
      </c>
      <c r="AI54" s="202">
        <v>8</v>
      </c>
      <c r="AJ54" s="188"/>
      <c r="AK54" s="158">
        <f t="shared" si="11"/>
        <v>176</v>
      </c>
      <c r="AL54" s="129">
        <f t="shared" si="12"/>
        <v>89</v>
      </c>
      <c r="AM54" s="130">
        <f t="shared" si="13"/>
        <v>-87</v>
      </c>
      <c r="AO54" s="137"/>
      <c r="AP54" s="109"/>
      <c r="AQ54" s="22"/>
      <c r="AR54" s="22"/>
      <c r="AS54" s="22"/>
      <c r="AT54" s="22"/>
      <c r="AU54" s="22"/>
      <c r="AV54" s="22"/>
      <c r="AW54" s="22"/>
      <c r="AX54" s="22"/>
      <c r="AY54" s="22"/>
      <c r="AZ54" s="23"/>
    </row>
    <row r="55" spans="1:52" ht="15" thickBot="1" x14ac:dyDescent="0.35">
      <c r="A55" s="135">
        <v>50</v>
      </c>
      <c r="B55" s="126" t="s">
        <v>152</v>
      </c>
      <c r="C55" s="142" t="s">
        <v>148</v>
      </c>
      <c r="D55" s="142" t="s">
        <v>153</v>
      </c>
      <c r="E55" s="220">
        <v>1</v>
      </c>
      <c r="F55" s="151">
        <v>4</v>
      </c>
      <c r="G55" s="148">
        <v>0</v>
      </c>
      <c r="H55" s="147">
        <f t="shared" si="4"/>
        <v>-3.3340000000000001</v>
      </c>
      <c r="I55" s="188"/>
      <c r="J55" s="192">
        <v>8</v>
      </c>
      <c r="K55" s="123">
        <v>8</v>
      </c>
      <c r="L55" s="123">
        <v>8</v>
      </c>
      <c r="M55" s="123">
        <v>8</v>
      </c>
      <c r="N55" s="201">
        <v>8</v>
      </c>
      <c r="O55" s="197">
        <v>8</v>
      </c>
      <c r="P55" s="163"/>
      <c r="Q55" s="192">
        <v>8</v>
      </c>
      <c r="R55" s="123">
        <v>8</v>
      </c>
      <c r="S55" s="123">
        <v>8</v>
      </c>
      <c r="T55" s="123">
        <v>8</v>
      </c>
      <c r="U55" s="201">
        <v>8</v>
      </c>
      <c r="V55" s="197">
        <v>1</v>
      </c>
      <c r="W55" s="163"/>
      <c r="X55" s="225" t="s">
        <v>196</v>
      </c>
      <c r="Y55" s="226" t="s">
        <v>196</v>
      </c>
      <c r="Z55" s="123">
        <v>8</v>
      </c>
      <c r="AA55" s="123">
        <v>8</v>
      </c>
      <c r="AB55" s="201">
        <v>8</v>
      </c>
      <c r="AC55" s="197">
        <v>8</v>
      </c>
      <c r="AD55" s="163"/>
      <c r="AE55" s="192">
        <v>8</v>
      </c>
      <c r="AF55" s="231">
        <v>8</v>
      </c>
      <c r="AG55" s="123">
        <v>8</v>
      </c>
      <c r="AH55" s="123">
        <v>8</v>
      </c>
      <c r="AI55" s="201">
        <v>8</v>
      </c>
      <c r="AJ55" s="188"/>
      <c r="AK55" s="158">
        <f t="shared" si="11"/>
        <v>176</v>
      </c>
      <c r="AL55" s="129">
        <f t="shared" si="12"/>
        <v>161</v>
      </c>
      <c r="AM55" s="130">
        <f t="shared" si="13"/>
        <v>-15</v>
      </c>
      <c r="AO55" s="137"/>
      <c r="AP55" s="109"/>
      <c r="AQ55" s="22"/>
      <c r="AR55" s="22"/>
      <c r="AS55" s="22"/>
      <c r="AT55" s="22"/>
      <c r="AU55" s="22"/>
      <c r="AV55" s="22"/>
      <c r="AW55" s="22"/>
      <c r="AX55" s="22"/>
      <c r="AY55" s="22"/>
      <c r="AZ55" s="23"/>
    </row>
    <row r="56" spans="1:52" ht="15" thickBot="1" x14ac:dyDescent="0.35">
      <c r="A56" s="135">
        <v>51</v>
      </c>
      <c r="B56" s="140" t="s">
        <v>154</v>
      </c>
      <c r="C56" s="144" t="s">
        <v>69</v>
      </c>
      <c r="D56" s="144" t="s">
        <v>87</v>
      </c>
      <c r="E56" s="222">
        <v>3</v>
      </c>
      <c r="F56" s="151">
        <v>5</v>
      </c>
      <c r="G56" s="148">
        <v>0</v>
      </c>
      <c r="H56" s="147">
        <f t="shared" si="4"/>
        <v>-6.3339999999999996</v>
      </c>
      <c r="I56" s="188"/>
      <c r="J56" s="192">
        <v>8</v>
      </c>
      <c r="K56" s="123" t="s">
        <v>110</v>
      </c>
      <c r="L56" s="123">
        <v>8</v>
      </c>
      <c r="M56" s="123">
        <v>8</v>
      </c>
      <c r="N56" s="201">
        <v>8</v>
      </c>
      <c r="O56" s="197"/>
      <c r="P56" s="163"/>
      <c r="Q56" s="193">
        <v>8</v>
      </c>
      <c r="R56" s="174">
        <v>8</v>
      </c>
      <c r="S56" s="174">
        <v>8</v>
      </c>
      <c r="T56" s="174">
        <v>8</v>
      </c>
      <c r="U56" s="202">
        <v>8</v>
      </c>
      <c r="V56" s="197"/>
      <c r="W56" s="163"/>
      <c r="X56" s="225" t="s">
        <v>196</v>
      </c>
      <c r="Y56" s="225" t="s">
        <v>196</v>
      </c>
      <c r="Z56" s="123">
        <v>8</v>
      </c>
      <c r="AA56" s="123" t="s">
        <v>110</v>
      </c>
      <c r="AB56" s="201">
        <v>8</v>
      </c>
      <c r="AC56" s="197">
        <v>8</v>
      </c>
      <c r="AD56" s="163"/>
      <c r="AE56" s="192">
        <v>8</v>
      </c>
      <c r="AF56" s="231" t="s">
        <v>110</v>
      </c>
      <c r="AG56" s="123">
        <v>8</v>
      </c>
      <c r="AH56" s="123">
        <v>8</v>
      </c>
      <c r="AI56" s="201">
        <v>8</v>
      </c>
      <c r="AJ56" s="188"/>
      <c r="AK56" s="158">
        <f t="shared" si="11"/>
        <v>176</v>
      </c>
      <c r="AL56" s="129">
        <f t="shared" si="12"/>
        <v>128</v>
      </c>
      <c r="AM56" s="130">
        <f t="shared" si="13"/>
        <v>-48</v>
      </c>
      <c r="AN56" s="14"/>
      <c r="AO56" s="138"/>
      <c r="AP56" s="132"/>
      <c r="AQ56" s="71"/>
      <c r="AR56" s="74"/>
      <c r="AS56" s="71"/>
      <c r="AT56" s="71"/>
      <c r="AU56" s="71"/>
      <c r="AV56" s="71"/>
      <c r="AW56" s="71"/>
      <c r="AX56" s="71"/>
      <c r="AY56" s="71"/>
      <c r="AZ56" s="85"/>
    </row>
    <row r="57" spans="1:52" ht="15" thickBot="1" x14ac:dyDescent="0.35">
      <c r="A57" s="135">
        <v>52</v>
      </c>
      <c r="B57" s="175" t="s">
        <v>155</v>
      </c>
      <c r="C57" s="145" t="s">
        <v>61</v>
      </c>
      <c r="D57" s="145" t="s">
        <v>62</v>
      </c>
      <c r="E57" s="149">
        <v>0</v>
      </c>
      <c r="F57" s="151">
        <v>0</v>
      </c>
      <c r="G57" s="148">
        <v>0</v>
      </c>
      <c r="H57" s="147">
        <f t="shared" si="4"/>
        <v>1.6659999999999999</v>
      </c>
      <c r="I57" s="188"/>
      <c r="J57" s="192">
        <v>8</v>
      </c>
      <c r="K57" s="123">
        <v>8</v>
      </c>
      <c r="L57" s="123">
        <v>8</v>
      </c>
      <c r="M57" s="123">
        <v>8</v>
      </c>
      <c r="N57" s="201">
        <v>8</v>
      </c>
      <c r="O57" s="197"/>
      <c r="P57" s="163"/>
      <c r="Q57" s="192">
        <v>8</v>
      </c>
      <c r="R57" s="123">
        <v>8</v>
      </c>
      <c r="S57" s="123">
        <v>8</v>
      </c>
      <c r="T57" s="123">
        <v>8</v>
      </c>
      <c r="U57" s="207">
        <v>8</v>
      </c>
      <c r="V57" s="206">
        <v>8</v>
      </c>
      <c r="W57" s="163"/>
      <c r="X57" s="225" t="s">
        <v>196</v>
      </c>
      <c r="Y57" s="225" t="s">
        <v>196</v>
      </c>
      <c r="Z57" s="123">
        <v>8</v>
      </c>
      <c r="AA57" s="123">
        <v>8</v>
      </c>
      <c r="AB57" s="207">
        <v>8</v>
      </c>
      <c r="AC57" s="206">
        <v>8</v>
      </c>
      <c r="AD57" s="172"/>
      <c r="AE57" s="208">
        <v>8</v>
      </c>
      <c r="AF57" s="231">
        <v>8</v>
      </c>
      <c r="AG57" s="123" t="s">
        <v>110</v>
      </c>
      <c r="AH57" s="171" t="s">
        <v>110</v>
      </c>
      <c r="AI57" s="207">
        <v>8</v>
      </c>
      <c r="AJ57" s="211"/>
      <c r="AK57" s="158">
        <f t="shared" si="11"/>
        <v>176</v>
      </c>
      <c r="AL57" s="129">
        <f t="shared" si="12"/>
        <v>144</v>
      </c>
      <c r="AM57" s="130">
        <f t="shared" si="13"/>
        <v>-32</v>
      </c>
      <c r="AN57" s="14"/>
      <c r="AO57" s="138">
        <f>A57</f>
        <v>52</v>
      </c>
      <c r="AP57" s="133" t="str">
        <f>B57</f>
        <v>Aleksandar Novakov</v>
      </c>
      <c r="AQ57" s="103"/>
      <c r="AR57" s="42"/>
      <c r="AS57" s="103"/>
      <c r="AT57" s="103"/>
      <c r="AU57" s="103"/>
      <c r="AV57" s="103"/>
      <c r="AW57" s="103"/>
      <c r="AX57" s="103"/>
      <c r="AY57" s="103"/>
      <c r="AZ57" s="106"/>
    </row>
    <row r="58" spans="1:52" ht="15" thickBot="1" x14ac:dyDescent="0.35">
      <c r="A58" s="135">
        <v>53</v>
      </c>
      <c r="B58" s="176" t="s">
        <v>156</v>
      </c>
      <c r="C58" s="38" t="s">
        <v>86</v>
      </c>
      <c r="D58" s="144" t="s">
        <v>87</v>
      </c>
      <c r="E58" s="149">
        <v>0</v>
      </c>
      <c r="F58" s="151">
        <v>0</v>
      </c>
      <c r="G58" s="148">
        <v>0</v>
      </c>
      <c r="H58" s="147">
        <f t="shared" si="4"/>
        <v>1.6659999999999999</v>
      </c>
      <c r="I58" s="188"/>
      <c r="J58" s="192">
        <v>8</v>
      </c>
      <c r="K58" s="123">
        <v>8</v>
      </c>
      <c r="L58" s="123">
        <v>8</v>
      </c>
      <c r="M58" s="123">
        <v>8</v>
      </c>
      <c r="N58" s="201">
        <v>8</v>
      </c>
      <c r="O58" s="197"/>
      <c r="P58" s="163"/>
      <c r="Q58" s="193">
        <v>8</v>
      </c>
      <c r="R58" s="174">
        <v>8</v>
      </c>
      <c r="S58" s="174">
        <v>8</v>
      </c>
      <c r="T58" s="174">
        <v>8</v>
      </c>
      <c r="U58" s="202" t="s">
        <v>110</v>
      </c>
      <c r="V58" s="197"/>
      <c r="W58" s="163"/>
      <c r="X58" s="225" t="s">
        <v>196</v>
      </c>
      <c r="Y58" s="226" t="s">
        <v>196</v>
      </c>
      <c r="Z58" s="123">
        <v>8</v>
      </c>
      <c r="AA58" s="123">
        <v>8</v>
      </c>
      <c r="AB58" s="201">
        <v>8</v>
      </c>
      <c r="AC58" s="197">
        <v>8</v>
      </c>
      <c r="AD58" s="163"/>
      <c r="AE58" s="192">
        <v>8</v>
      </c>
      <c r="AF58" s="231">
        <v>8</v>
      </c>
      <c r="AG58" s="123">
        <v>8</v>
      </c>
      <c r="AH58" s="123">
        <v>8</v>
      </c>
      <c r="AI58" s="201">
        <v>8</v>
      </c>
      <c r="AJ58" s="188"/>
      <c r="AK58" s="158">
        <f t="shared" si="11"/>
        <v>176</v>
      </c>
      <c r="AL58" s="129"/>
      <c r="AM58" s="130"/>
      <c r="AO58" s="135"/>
      <c r="AP58" s="108"/>
      <c r="AQ58" s="38"/>
      <c r="AR58" s="76"/>
      <c r="AS58" s="20"/>
      <c r="AT58" s="20"/>
      <c r="AU58" s="22"/>
      <c r="AV58" s="36"/>
      <c r="AW58" s="36"/>
      <c r="AX58" s="36"/>
      <c r="AY58" s="22"/>
      <c r="AZ58" s="23"/>
    </row>
    <row r="59" spans="1:52" ht="15" thickBot="1" x14ac:dyDescent="0.35">
      <c r="A59" s="135">
        <v>54</v>
      </c>
      <c r="B59" s="176" t="s">
        <v>158</v>
      </c>
      <c r="C59" s="142" t="s">
        <v>48</v>
      </c>
      <c r="D59" s="142" t="s">
        <v>49</v>
      </c>
      <c r="E59" s="149">
        <v>19</v>
      </c>
      <c r="F59" s="151">
        <v>0</v>
      </c>
      <c r="G59" s="148">
        <v>20</v>
      </c>
      <c r="H59" s="147">
        <f t="shared" si="4"/>
        <v>2.6659999999999999</v>
      </c>
      <c r="I59" s="188"/>
      <c r="J59" s="192">
        <v>8</v>
      </c>
      <c r="K59" s="123">
        <v>8</v>
      </c>
      <c r="L59" s="123">
        <v>8</v>
      </c>
      <c r="M59" s="123">
        <v>8</v>
      </c>
      <c r="N59" s="201">
        <v>8</v>
      </c>
      <c r="O59" s="197"/>
      <c r="P59" s="163"/>
      <c r="Q59" s="192">
        <v>8</v>
      </c>
      <c r="R59" s="123">
        <v>8</v>
      </c>
      <c r="S59" s="123" t="s">
        <v>66</v>
      </c>
      <c r="T59" s="123">
        <v>8</v>
      </c>
      <c r="U59" s="201">
        <v>8</v>
      </c>
      <c r="V59" s="197"/>
      <c r="W59" s="163"/>
      <c r="X59" s="225" t="s">
        <v>196</v>
      </c>
      <c r="Y59" s="225" t="s">
        <v>196</v>
      </c>
      <c r="Z59" s="123">
        <v>8</v>
      </c>
      <c r="AA59" s="123">
        <v>8</v>
      </c>
      <c r="AB59" s="201" t="s">
        <v>66</v>
      </c>
      <c r="AC59" s="197"/>
      <c r="AD59" s="163"/>
      <c r="AE59" s="192">
        <v>8</v>
      </c>
      <c r="AF59" s="231">
        <v>8</v>
      </c>
      <c r="AG59" s="123">
        <v>8</v>
      </c>
      <c r="AH59" s="123">
        <v>8</v>
      </c>
      <c r="AI59" s="201">
        <v>8</v>
      </c>
      <c r="AJ59" s="188"/>
      <c r="AK59" s="157">
        <f>22*8</f>
        <v>176</v>
      </c>
      <c r="AL59" s="129">
        <f>SUM(I59:AJ59)</f>
        <v>128</v>
      </c>
      <c r="AM59" s="130">
        <f>AL59-AK59</f>
        <v>-48</v>
      </c>
      <c r="AO59" s="135">
        <f t="shared" ref="AO59:AQ61" si="16">A59</f>
        <v>54</v>
      </c>
      <c r="AP59" s="108" t="str">
        <f t="shared" si="16"/>
        <v>Aleksandar Perić</v>
      </c>
      <c r="AQ59" s="38" t="str">
        <f t="shared" si="16"/>
        <v>Viljuškarista</v>
      </c>
      <c r="AR59" s="76">
        <v>23</v>
      </c>
      <c r="AS59" s="20"/>
      <c r="AT59" s="20"/>
      <c r="AU59" s="22"/>
      <c r="AV59" s="36">
        <f>COUNTIF(K59:AJ59,"bo")</f>
        <v>0</v>
      </c>
      <c r="AW59" s="36"/>
      <c r="AX59" s="36">
        <f>(COUNTIF(K59:AJ59,"go")*8+COUNTIF(K59:AJ59,"sd")*8)/8</f>
        <v>2</v>
      </c>
      <c r="AY59" s="22"/>
      <c r="AZ59" s="23"/>
    </row>
    <row r="60" spans="1:52" ht="15" thickBot="1" x14ac:dyDescent="0.35">
      <c r="A60" s="135">
        <v>55</v>
      </c>
      <c r="B60" s="176" t="s">
        <v>162</v>
      </c>
      <c r="C60" s="145" t="s">
        <v>159</v>
      </c>
      <c r="D60" s="145" t="s">
        <v>160</v>
      </c>
      <c r="E60" s="149">
        <v>18</v>
      </c>
      <c r="F60" s="151">
        <v>0</v>
      </c>
      <c r="G60" s="148">
        <v>20</v>
      </c>
      <c r="H60" s="147">
        <f t="shared" si="4"/>
        <v>3.6659999999999999</v>
      </c>
      <c r="I60" s="188"/>
      <c r="J60" s="192">
        <v>8</v>
      </c>
      <c r="K60" s="123">
        <v>8</v>
      </c>
      <c r="L60" s="123">
        <v>8</v>
      </c>
      <c r="M60" s="123">
        <v>8</v>
      </c>
      <c r="N60" s="201">
        <v>8</v>
      </c>
      <c r="O60" s="197">
        <v>7</v>
      </c>
      <c r="P60" s="163"/>
      <c r="Q60" s="192">
        <v>8</v>
      </c>
      <c r="R60" s="123">
        <v>8</v>
      </c>
      <c r="S60" s="123">
        <v>8</v>
      </c>
      <c r="T60" s="123">
        <v>8</v>
      </c>
      <c r="U60" s="201">
        <v>8</v>
      </c>
      <c r="V60" s="197">
        <v>7</v>
      </c>
      <c r="W60" s="163"/>
      <c r="X60" s="225" t="s">
        <v>196</v>
      </c>
      <c r="Y60" s="226" t="s">
        <v>196</v>
      </c>
      <c r="Z60" s="123">
        <v>8</v>
      </c>
      <c r="AA60" s="123">
        <v>8</v>
      </c>
      <c r="AB60" s="201">
        <v>8</v>
      </c>
      <c r="AC60" s="197">
        <v>8</v>
      </c>
      <c r="AD60" s="163"/>
      <c r="AE60" s="192">
        <v>8</v>
      </c>
      <c r="AF60" s="231">
        <v>8</v>
      </c>
      <c r="AG60" s="123">
        <v>8</v>
      </c>
      <c r="AH60" s="123">
        <v>8</v>
      </c>
      <c r="AI60" s="201">
        <v>8</v>
      </c>
      <c r="AJ60" s="188">
        <v>8</v>
      </c>
      <c r="AK60" s="158">
        <f>22*8</f>
        <v>176</v>
      </c>
      <c r="AL60" s="129">
        <f>SUM(I60:AJ60)</f>
        <v>174</v>
      </c>
      <c r="AM60" s="130">
        <f>AL60-AK60</f>
        <v>-2</v>
      </c>
      <c r="AO60" s="135">
        <f t="shared" si="16"/>
        <v>55</v>
      </c>
      <c r="AP60" s="108" t="str">
        <f t="shared" si="16"/>
        <v>Saša Nikolić</v>
      </c>
      <c r="AQ60" s="38" t="str">
        <f t="shared" si="16"/>
        <v>Magacin</v>
      </c>
      <c r="AR60" s="76">
        <v>17</v>
      </c>
      <c r="AS60" s="22"/>
      <c r="AT60" s="20"/>
      <c r="AU60" s="22"/>
      <c r="AV60" s="36">
        <f>COUNTIF(K60:AJ60,"bo")</f>
        <v>0</v>
      </c>
      <c r="AW60" s="36"/>
      <c r="AX60" s="36">
        <f>(COUNTIF(K60:AJ60,"go")*8+COUNTIF(K60:AJ60,"sd")*8)/8</f>
        <v>0</v>
      </c>
      <c r="AY60" s="22" t="s">
        <v>163</v>
      </c>
      <c r="AZ60" s="23"/>
    </row>
    <row r="61" spans="1:52" ht="15" thickBot="1" x14ac:dyDescent="0.35">
      <c r="A61" s="135">
        <v>56</v>
      </c>
      <c r="B61" s="176" t="s">
        <v>164</v>
      </c>
      <c r="C61" s="145" t="s">
        <v>165</v>
      </c>
      <c r="D61" s="145" t="s">
        <v>166</v>
      </c>
      <c r="E61" s="149">
        <v>12</v>
      </c>
      <c r="F61" s="151">
        <v>0</v>
      </c>
      <c r="G61" s="148">
        <v>20</v>
      </c>
      <c r="H61" s="147">
        <f t="shared" si="4"/>
        <v>9.6660000000000004</v>
      </c>
      <c r="I61" s="188"/>
      <c r="J61" s="192">
        <v>8</v>
      </c>
      <c r="K61" s="123">
        <v>8</v>
      </c>
      <c r="L61" s="123">
        <v>8</v>
      </c>
      <c r="M61" s="123">
        <v>8</v>
      </c>
      <c r="N61" s="201" t="s">
        <v>66</v>
      </c>
      <c r="O61" s="197">
        <v>1</v>
      </c>
      <c r="P61" s="163"/>
      <c r="Q61" s="192">
        <v>8</v>
      </c>
      <c r="R61" s="123">
        <v>8</v>
      </c>
      <c r="S61" s="123">
        <v>8</v>
      </c>
      <c r="T61" s="123">
        <v>8</v>
      </c>
      <c r="U61" s="201">
        <v>8</v>
      </c>
      <c r="V61" s="197">
        <v>1</v>
      </c>
      <c r="W61" s="163"/>
      <c r="X61" s="225" t="s">
        <v>196</v>
      </c>
      <c r="Y61" s="226" t="s">
        <v>196</v>
      </c>
      <c r="Z61" s="123">
        <v>8</v>
      </c>
      <c r="AA61" s="123">
        <v>8</v>
      </c>
      <c r="AB61" s="201">
        <v>8</v>
      </c>
      <c r="AC61" s="197">
        <v>8</v>
      </c>
      <c r="AD61" s="163"/>
      <c r="AE61" s="192">
        <v>8</v>
      </c>
      <c r="AF61" s="231">
        <v>8</v>
      </c>
      <c r="AG61" s="123">
        <v>8</v>
      </c>
      <c r="AH61" s="123">
        <v>8</v>
      </c>
      <c r="AI61" s="201" t="s">
        <v>197</v>
      </c>
      <c r="AJ61" s="188">
        <v>1</v>
      </c>
      <c r="AK61" s="157">
        <f>22*8</f>
        <v>176</v>
      </c>
      <c r="AL61" s="129">
        <f>SUM(I61:AJ61)</f>
        <v>139</v>
      </c>
      <c r="AM61" s="130">
        <f>AL61-AK61</f>
        <v>-37</v>
      </c>
      <c r="AO61" s="135">
        <f t="shared" si="16"/>
        <v>56</v>
      </c>
      <c r="AP61" s="108" t="str">
        <f t="shared" si="16"/>
        <v>Miloš Jevtić</v>
      </c>
      <c r="AQ61" s="38" t="str">
        <f t="shared" si="16"/>
        <v>Održavanje</v>
      </c>
      <c r="AR61" s="76">
        <v>23</v>
      </c>
      <c r="AS61" s="20"/>
      <c r="AT61" s="20"/>
      <c r="AU61" s="22"/>
      <c r="AV61" s="36">
        <f>COUNTIF(K61:AJ61,"bo")</f>
        <v>1</v>
      </c>
      <c r="AW61" s="36"/>
      <c r="AX61" s="36">
        <f>(COUNTIF(K61:AJ61,"go")*8+COUNTIF(K61:AJ61,"sd")*8)/8</f>
        <v>1</v>
      </c>
      <c r="AY61" s="22"/>
      <c r="AZ61" s="23"/>
    </row>
    <row r="62" spans="1:52" ht="15" thickBot="1" x14ac:dyDescent="0.35">
      <c r="A62" s="180">
        <v>57</v>
      </c>
      <c r="B62" s="181" t="s">
        <v>198</v>
      </c>
      <c r="C62" s="182" t="s">
        <v>159</v>
      </c>
      <c r="D62" s="182" t="s">
        <v>160</v>
      </c>
      <c r="E62" s="183">
        <v>0</v>
      </c>
      <c r="F62" s="184">
        <v>0</v>
      </c>
      <c r="G62" s="148">
        <v>0</v>
      </c>
      <c r="H62" s="147">
        <f>G62-E62-F62+(0*1.666)</f>
        <v>0</v>
      </c>
      <c r="I62" s="189"/>
      <c r="J62" s="194">
        <v>0</v>
      </c>
      <c r="K62" s="185">
        <v>0</v>
      </c>
      <c r="L62" s="185">
        <v>8</v>
      </c>
      <c r="M62" s="185">
        <v>8</v>
      </c>
      <c r="N62" s="204">
        <v>8</v>
      </c>
      <c r="O62" s="198"/>
      <c r="P62" s="186"/>
      <c r="Q62" s="194" t="s">
        <v>66</v>
      </c>
      <c r="R62" s="185">
        <v>8</v>
      </c>
      <c r="S62" s="185">
        <v>8</v>
      </c>
      <c r="T62" s="185">
        <v>8</v>
      </c>
      <c r="U62" s="204">
        <v>8</v>
      </c>
      <c r="V62" s="198"/>
      <c r="W62" s="186"/>
      <c r="X62" s="227" t="s">
        <v>196</v>
      </c>
      <c r="Y62" s="228" t="s">
        <v>196</v>
      </c>
      <c r="Z62" s="185">
        <v>8</v>
      </c>
      <c r="AA62" s="185">
        <v>8</v>
      </c>
      <c r="AB62" s="204">
        <v>8</v>
      </c>
      <c r="AC62" s="198"/>
      <c r="AD62" s="186"/>
      <c r="AE62" s="194">
        <v>8</v>
      </c>
      <c r="AF62" s="231">
        <v>8</v>
      </c>
      <c r="AG62" s="185">
        <v>8</v>
      </c>
      <c r="AH62" s="185">
        <v>8</v>
      </c>
      <c r="AI62" s="204">
        <v>8</v>
      </c>
      <c r="AJ62" s="189">
        <v>8</v>
      </c>
      <c r="AK62" s="158">
        <f t="shared" ref="AK62" si="17">22*8</f>
        <v>176</v>
      </c>
      <c r="AL62" s="129"/>
      <c r="AM62" s="130"/>
      <c r="AO62" s="135"/>
      <c r="AP62" s="108"/>
      <c r="AQ62" s="38"/>
      <c r="AR62" s="76"/>
      <c r="AS62" s="20"/>
      <c r="AT62" s="20"/>
      <c r="AU62" s="22"/>
      <c r="AV62" s="36"/>
      <c r="AW62" s="36"/>
      <c r="AX62" s="36"/>
      <c r="AY62" s="22"/>
      <c r="AZ62" s="23"/>
    </row>
    <row r="63" spans="1:52" ht="15" thickBot="1" x14ac:dyDescent="0.35">
      <c r="A63" s="139">
        <v>58</v>
      </c>
      <c r="B63" s="177" t="s">
        <v>167</v>
      </c>
      <c r="C63" s="146" t="s">
        <v>165</v>
      </c>
      <c r="D63" s="146" t="s">
        <v>166</v>
      </c>
      <c r="E63" s="150">
        <v>15</v>
      </c>
      <c r="F63" s="152">
        <v>0</v>
      </c>
      <c r="G63" s="155">
        <v>20</v>
      </c>
      <c r="H63" s="147">
        <f t="shared" si="4"/>
        <v>6.6660000000000004</v>
      </c>
      <c r="I63" s="190"/>
      <c r="J63" s="195">
        <v>8</v>
      </c>
      <c r="K63" s="164">
        <v>8</v>
      </c>
      <c r="L63" s="164">
        <v>8</v>
      </c>
      <c r="M63" s="164">
        <v>8</v>
      </c>
      <c r="N63" s="205">
        <v>8</v>
      </c>
      <c r="O63" s="199">
        <v>4</v>
      </c>
      <c r="P63" s="165"/>
      <c r="Q63" s="195">
        <v>8</v>
      </c>
      <c r="R63" s="164">
        <v>8</v>
      </c>
      <c r="S63" s="164">
        <v>8</v>
      </c>
      <c r="T63" s="164">
        <v>8</v>
      </c>
      <c r="U63" s="205">
        <v>8</v>
      </c>
      <c r="V63" s="199">
        <v>9</v>
      </c>
      <c r="W63" s="165"/>
      <c r="X63" s="225" t="s">
        <v>196</v>
      </c>
      <c r="Y63" s="225" t="s">
        <v>196</v>
      </c>
      <c r="Z63" s="164">
        <v>8</v>
      </c>
      <c r="AA63" s="164">
        <v>8</v>
      </c>
      <c r="AB63" s="205">
        <v>8</v>
      </c>
      <c r="AC63" s="199">
        <v>2</v>
      </c>
      <c r="AD63" s="165"/>
      <c r="AE63" s="195">
        <v>8</v>
      </c>
      <c r="AF63" s="231">
        <v>8</v>
      </c>
      <c r="AG63" s="164">
        <v>8</v>
      </c>
      <c r="AH63" s="164">
        <v>8</v>
      </c>
      <c r="AI63" s="205">
        <v>8</v>
      </c>
      <c r="AJ63" s="190">
        <v>4</v>
      </c>
      <c r="AK63" s="157">
        <f>22*8</f>
        <v>176</v>
      </c>
      <c r="AL63" s="129">
        <f>SUM(I63:AJ63)</f>
        <v>163</v>
      </c>
      <c r="AM63" s="130">
        <f>AL63-AK63</f>
        <v>-13</v>
      </c>
      <c r="AO63" s="135">
        <f>A63</f>
        <v>58</v>
      </c>
      <c r="AP63" s="108" t="str">
        <f>B63</f>
        <v>Draško Stokić</v>
      </c>
      <c r="AQ63" s="38" t="str">
        <f>C63</f>
        <v>Održavanje</v>
      </c>
      <c r="AR63" s="76">
        <v>23</v>
      </c>
      <c r="AS63" s="74"/>
      <c r="AT63" s="22"/>
      <c r="AU63" s="22"/>
      <c r="AV63" s="36">
        <f>COUNTIF(K63:AJ63,"bo")</f>
        <v>0</v>
      </c>
      <c r="AW63" s="36"/>
      <c r="AX63" s="36">
        <f>(COUNTIF(K63:AJ63,"go")*8+COUNTIF(K63:AJ63,"sd")*8)/8</f>
        <v>0</v>
      </c>
      <c r="AY63" s="22"/>
      <c r="AZ63" s="23"/>
    </row>
    <row r="64" spans="1:52" x14ac:dyDescent="0.3">
      <c r="O64" s="124">
        <f>SUM(O6:O63)</f>
        <v>37</v>
      </c>
      <c r="R64" s="124">
        <f>SUM(R6:R63)</f>
        <v>416</v>
      </c>
      <c r="S64" s="124">
        <f>SUM(S6:S63)</f>
        <v>408</v>
      </c>
      <c r="V64" s="124">
        <f>SUM(V6:V63)</f>
        <v>135</v>
      </c>
      <c r="Y64" s="124">
        <f>SUM(Y6:Y63)</f>
        <v>0</v>
      </c>
      <c r="Z64" s="124">
        <f>SUM(Z6:Z63)</f>
        <v>424</v>
      </c>
      <c r="AC64" s="124">
        <f>SUM(AC6:AC63)</f>
        <v>227</v>
      </c>
      <c r="AF64" s="124">
        <f>SUM(AF6:AF63)</f>
        <v>408</v>
      </c>
      <c r="AG64" s="124">
        <f>SUM(AG6:AG63)</f>
        <v>400</v>
      </c>
      <c r="AJ64" s="124">
        <f>SUM(AJ6:AJ63)</f>
        <v>65</v>
      </c>
    </row>
    <row r="65" spans="1:52" x14ac:dyDescent="0.3">
      <c r="I65" s="124">
        <v>1</v>
      </c>
      <c r="P65" s="124">
        <f>SUM(P6:P63)</f>
        <v>1</v>
      </c>
      <c r="AJ65" s="124">
        <f>SUM(AJ6:AJ63)</f>
        <v>65</v>
      </c>
    </row>
    <row r="66" spans="1:52" x14ac:dyDescent="0.3">
      <c r="A66" s="53"/>
      <c r="B66" s="17"/>
      <c r="C66" s="17"/>
      <c r="D66" s="17"/>
      <c r="E66" s="16"/>
      <c r="F66" s="125"/>
      <c r="G66" s="16"/>
      <c r="H66" s="16"/>
      <c r="I66" s="45"/>
      <c r="J66" s="4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f>SUM(U6:U56)</f>
        <v>368</v>
      </c>
      <c r="V66" s="16">
        <f>SUM(V6:V56)</f>
        <v>110</v>
      </c>
      <c r="W66" s="45"/>
      <c r="X66" s="45"/>
      <c r="Y66" s="16"/>
      <c r="Z66" s="16"/>
      <c r="AA66" s="16"/>
      <c r="AB66" s="16">
        <f>SUM(AB6:AB56)</f>
        <v>352</v>
      </c>
      <c r="AC66" s="16">
        <f>SUM(AC6:AC56)</f>
        <v>193</v>
      </c>
      <c r="AD66" s="45"/>
      <c r="AE66" s="45"/>
      <c r="AF66" s="16"/>
      <c r="AG66" s="16"/>
      <c r="AH66" s="16"/>
      <c r="AI66" s="16">
        <f>SUM(AI6:AI56)</f>
        <v>328</v>
      </c>
      <c r="AJ66" s="16">
        <f>SUM(AJ6:AJ56)</f>
        <v>44</v>
      </c>
      <c r="AK66" s="56"/>
      <c r="AL66" s="57"/>
      <c r="AM66" s="34"/>
      <c r="AN66" s="14"/>
      <c r="AO66" s="46"/>
      <c r="AP66" s="47"/>
      <c r="AQ66" s="14"/>
      <c r="AR66" s="44"/>
      <c r="AS66" s="14"/>
      <c r="AT66" s="14"/>
      <c r="AU66" s="14"/>
      <c r="AV66" s="14"/>
      <c r="AW66" s="14"/>
      <c r="AX66" s="14"/>
      <c r="AY66" s="14"/>
      <c r="AZ66" s="14"/>
    </row>
    <row r="67" spans="1:52" x14ac:dyDescent="0.3">
      <c r="A67" s="53"/>
      <c r="B67" s="17"/>
      <c r="C67" s="17"/>
      <c r="D67" s="17"/>
      <c r="E67" s="16"/>
      <c r="F67" s="125"/>
      <c r="G67" s="16"/>
      <c r="H67" t="s">
        <v>169</v>
      </c>
      <c r="I67" s="2">
        <f t="shared" ref="I67" si="18">COUNTA(I13:I63)</f>
        <v>1</v>
      </c>
      <c r="J67" s="2">
        <f>COUNTA(J13:J59)*8</f>
        <v>376</v>
      </c>
      <c r="K67" s="2">
        <f>COUNTA(K13:K59)*8</f>
        <v>376</v>
      </c>
      <c r="L67" s="2">
        <f t="shared" ref="L67:AJ67" si="19">COUNTA(L13:L59)*8</f>
        <v>376</v>
      </c>
      <c r="M67" s="2">
        <f t="shared" si="19"/>
        <v>376</v>
      </c>
      <c r="N67" s="2">
        <f t="shared" si="19"/>
        <v>376</v>
      </c>
      <c r="O67" s="2">
        <f t="shared" si="19"/>
        <v>32</v>
      </c>
      <c r="P67" s="2">
        <f t="shared" si="19"/>
        <v>8</v>
      </c>
      <c r="Q67" s="2">
        <f t="shared" si="19"/>
        <v>376</v>
      </c>
      <c r="R67" s="2">
        <f>COUNTA(R13:R59)*8</f>
        <v>376</v>
      </c>
      <c r="S67" s="2">
        <f t="shared" ref="S67:AI67" si="20">COUNTA(S13:S59)*8</f>
        <v>376</v>
      </c>
      <c r="T67" s="2">
        <f>COUNTA(T13:T59)*8</f>
        <v>376</v>
      </c>
      <c r="U67" s="2">
        <f>COUNTA(U13:U59)*8</f>
        <v>376</v>
      </c>
      <c r="V67" s="2">
        <f t="shared" si="20"/>
        <v>120</v>
      </c>
      <c r="W67" s="2">
        <f t="shared" si="20"/>
        <v>16</v>
      </c>
      <c r="X67" s="2">
        <v>0</v>
      </c>
      <c r="Y67" s="2">
        <v>0</v>
      </c>
      <c r="Z67" s="2">
        <f>COUNTA(Z13:Z59)*8</f>
        <v>376</v>
      </c>
      <c r="AA67" s="2">
        <f t="shared" si="20"/>
        <v>376</v>
      </c>
      <c r="AB67" s="2">
        <f t="shared" si="20"/>
        <v>376</v>
      </c>
      <c r="AC67" s="2">
        <f t="shared" si="20"/>
        <v>224</v>
      </c>
      <c r="AD67" s="2">
        <f t="shared" si="20"/>
        <v>0</v>
      </c>
      <c r="AE67" s="2">
        <f t="shared" si="20"/>
        <v>376</v>
      </c>
      <c r="AF67" s="2">
        <f t="shared" si="20"/>
        <v>376</v>
      </c>
      <c r="AG67" s="2">
        <f t="shared" si="20"/>
        <v>376</v>
      </c>
      <c r="AH67" s="2">
        <f t="shared" si="20"/>
        <v>376</v>
      </c>
      <c r="AI67" s="2">
        <f t="shared" si="20"/>
        <v>368</v>
      </c>
      <c r="AJ67" s="2">
        <f t="shared" si="19"/>
        <v>48</v>
      </c>
      <c r="AK67" s="56"/>
      <c r="AL67" s="57"/>
      <c r="AM67" s="34"/>
      <c r="AN67" s="14"/>
      <c r="AO67" s="46"/>
      <c r="AP67" s="47"/>
      <c r="AQ67" s="14"/>
      <c r="AR67" s="44"/>
      <c r="AS67" s="14"/>
      <c r="AT67" s="14"/>
      <c r="AU67" s="14"/>
      <c r="AV67" s="14"/>
      <c r="AW67" s="14"/>
      <c r="AX67" s="14"/>
      <c r="AY67" s="14"/>
      <c r="AZ67" s="14"/>
    </row>
    <row r="68" spans="1:52" x14ac:dyDescent="0.3">
      <c r="A68" s="2"/>
      <c r="B68" s="1"/>
      <c r="C68" s="1"/>
      <c r="D68" s="1"/>
      <c r="E68" s="2"/>
      <c r="F68" s="2"/>
      <c r="G68" s="2"/>
      <c r="H68" t="s">
        <v>170</v>
      </c>
      <c r="I68" s="2">
        <f t="shared" ref="I68:Q68" si="21">SUM(I13:I56)</f>
        <v>1</v>
      </c>
      <c r="J68" s="2">
        <f>SUM(J13:J56)</f>
        <v>328</v>
      </c>
      <c r="K68" s="2">
        <f t="shared" si="21"/>
        <v>313</v>
      </c>
      <c r="L68" s="2">
        <f t="shared" si="21"/>
        <v>320</v>
      </c>
      <c r="M68" s="2">
        <f t="shared" si="21"/>
        <v>320</v>
      </c>
      <c r="N68" s="2">
        <f t="shared" si="21"/>
        <v>312</v>
      </c>
      <c r="O68" s="2">
        <f t="shared" si="21"/>
        <v>25</v>
      </c>
      <c r="P68" s="2">
        <f t="shared" si="21"/>
        <v>1</v>
      </c>
      <c r="Q68" s="2">
        <f t="shared" si="21"/>
        <v>320</v>
      </c>
      <c r="R68" s="2"/>
      <c r="S68" s="2"/>
      <c r="T68" s="2">
        <f>SUM(T13:T58)</f>
        <v>328</v>
      </c>
      <c r="U68" s="2">
        <f t="shared" ref="U68:AI68" si="22">SUM(U13:U58)</f>
        <v>320</v>
      </c>
      <c r="V68" s="2">
        <f t="shared" si="22"/>
        <v>110</v>
      </c>
      <c r="W68" s="2">
        <f t="shared" si="22"/>
        <v>8</v>
      </c>
      <c r="X68" s="2">
        <f t="shared" si="22"/>
        <v>0</v>
      </c>
      <c r="Y68" s="2">
        <f t="shared" si="22"/>
        <v>0</v>
      </c>
      <c r="Z68" s="2">
        <f t="shared" si="22"/>
        <v>328</v>
      </c>
      <c r="AA68" s="2">
        <f t="shared" si="22"/>
        <v>320</v>
      </c>
      <c r="AB68" s="2">
        <f t="shared" si="22"/>
        <v>312</v>
      </c>
      <c r="AC68" s="2">
        <f t="shared" si="22"/>
        <v>209</v>
      </c>
      <c r="AD68" s="2">
        <f t="shared" si="22"/>
        <v>0</v>
      </c>
      <c r="AE68" s="2">
        <f t="shared" si="22"/>
        <v>302</v>
      </c>
      <c r="AF68" s="2">
        <f t="shared" si="22"/>
        <v>312</v>
      </c>
      <c r="AG68" s="2">
        <f t="shared" si="22"/>
        <v>304</v>
      </c>
      <c r="AH68" s="2">
        <f t="shared" si="22"/>
        <v>304</v>
      </c>
      <c r="AI68" s="2">
        <f t="shared" si="22"/>
        <v>288</v>
      </c>
      <c r="AJ68" s="2">
        <f>SUM(AJ13:AJ57)</f>
        <v>36</v>
      </c>
      <c r="AL68" s="51"/>
    </row>
    <row r="69" spans="1:52" x14ac:dyDescent="0.3">
      <c r="A69" s="2"/>
      <c r="B69" s="1"/>
      <c r="C69" s="1"/>
      <c r="D69" s="1"/>
      <c r="E69" s="2"/>
      <c r="F69" s="2"/>
      <c r="G69" s="2"/>
      <c r="H69" s="3" t="s">
        <v>171</v>
      </c>
      <c r="I69" s="2">
        <f t="shared" ref="I69" si="23">COUNTIF(I13:I56,"bo")</f>
        <v>0</v>
      </c>
      <c r="J69" s="2">
        <f t="shared" ref="J69:P69" si="24">COUNTIF(J13:J58,"bo")</f>
        <v>2</v>
      </c>
      <c r="K69" s="2">
        <f t="shared" si="24"/>
        <v>4</v>
      </c>
      <c r="L69" s="2">
        <f t="shared" si="24"/>
        <v>3</v>
      </c>
      <c r="M69" s="2">
        <f t="shared" si="24"/>
        <v>3</v>
      </c>
      <c r="N69" s="2">
        <f t="shared" si="24"/>
        <v>4</v>
      </c>
      <c r="O69" s="2">
        <f t="shared" si="24"/>
        <v>0</v>
      </c>
      <c r="P69" s="2">
        <f t="shared" si="24"/>
        <v>0</v>
      </c>
      <c r="Q69" s="2">
        <f>COUNTIF(Q13:Q58,"bo")</f>
        <v>4</v>
      </c>
      <c r="R69" s="2">
        <f t="shared" ref="R69:AJ69" si="25">COUNTIF(R13:R58,"bo")</f>
        <v>6</v>
      </c>
      <c r="S69" s="2">
        <f t="shared" si="25"/>
        <v>6</v>
      </c>
      <c r="T69" s="2">
        <f t="shared" si="25"/>
        <v>5</v>
      </c>
      <c r="U69" s="2">
        <f>COUNTIF(U13:U58,"bo")</f>
        <v>6</v>
      </c>
      <c r="V69" s="2">
        <f t="shared" si="25"/>
        <v>0</v>
      </c>
      <c r="W69" s="2">
        <f t="shared" si="25"/>
        <v>0</v>
      </c>
      <c r="X69" s="2">
        <f t="shared" si="25"/>
        <v>5</v>
      </c>
      <c r="Y69" s="2">
        <f t="shared" si="25"/>
        <v>5</v>
      </c>
      <c r="Z69" s="2">
        <f t="shared" si="25"/>
        <v>5</v>
      </c>
      <c r="AA69" s="2">
        <f t="shared" si="25"/>
        <v>6</v>
      </c>
      <c r="AB69" s="2">
        <f t="shared" si="25"/>
        <v>6</v>
      </c>
      <c r="AC69" s="2">
        <f t="shared" si="25"/>
        <v>1</v>
      </c>
      <c r="AD69" s="2">
        <f t="shared" si="25"/>
        <v>0</v>
      </c>
      <c r="AE69" s="2">
        <f t="shared" si="25"/>
        <v>6</v>
      </c>
      <c r="AF69" s="2">
        <f t="shared" si="25"/>
        <v>7</v>
      </c>
      <c r="AG69" s="2">
        <f t="shared" si="25"/>
        <v>7</v>
      </c>
      <c r="AH69" s="2">
        <f t="shared" si="25"/>
        <v>7</v>
      </c>
      <c r="AI69" s="2">
        <f t="shared" si="25"/>
        <v>7</v>
      </c>
      <c r="AJ69" s="2">
        <f t="shared" si="25"/>
        <v>0</v>
      </c>
      <c r="AS69" s="4">
        <f>SUM(AS6:AS52)</f>
        <v>0</v>
      </c>
      <c r="AT69" s="4">
        <f>SUM(AT6:AT52)</f>
        <v>0</v>
      </c>
      <c r="AU69" s="4"/>
      <c r="AV69" s="4">
        <f>SUM(AV6:AV52)</f>
        <v>87</v>
      </c>
      <c r="AW69" s="4"/>
      <c r="AX69" s="4">
        <f>SUM(AX6:AX52)</f>
        <v>22</v>
      </c>
    </row>
    <row r="70" spans="1:52" x14ac:dyDescent="0.3">
      <c r="A70" s="2"/>
      <c r="B70" s="1"/>
      <c r="C70" s="1"/>
      <c r="D70" s="1"/>
      <c r="E70" s="2"/>
      <c r="F70" s="2"/>
      <c r="G70" s="2"/>
      <c r="H70" s="3" t="s">
        <v>172</v>
      </c>
      <c r="I70" s="2">
        <f t="shared" ref="I70:O70" si="26">COUNTIF(I6:I56,"sd")+COUNTIF(I6:I56,"ks")+COUNTIF(I6:I56,"go")</f>
        <v>0</v>
      </c>
      <c r="J70" s="2">
        <f t="shared" si="26"/>
        <v>1</v>
      </c>
      <c r="K70" s="2">
        <f t="shared" si="26"/>
        <v>0</v>
      </c>
      <c r="L70" s="2">
        <f t="shared" si="26"/>
        <v>1</v>
      </c>
      <c r="M70" s="2">
        <f t="shared" si="26"/>
        <v>1</v>
      </c>
      <c r="N70" s="2">
        <f t="shared" si="26"/>
        <v>1</v>
      </c>
      <c r="O70" s="2">
        <f t="shared" si="26"/>
        <v>0</v>
      </c>
      <c r="P70" s="2">
        <f t="shared" ref="P70:AJ70" si="27">COUNTIF(P13:P56,"sd")+COUNTIF(P13:P56,"ks")+COUNTIF(P13:P56,"go")</f>
        <v>0</v>
      </c>
      <c r="Q70" s="2">
        <f t="shared" si="27"/>
        <v>0</v>
      </c>
      <c r="R70" s="2">
        <f>COUNTIF(R13:R56,"sd")+COUNTIF(R13:R56,"ks")+COUNTIF(R13:R56,"go")</f>
        <v>0</v>
      </c>
      <c r="S70" s="2">
        <f t="shared" si="27"/>
        <v>0</v>
      </c>
      <c r="T70" s="2">
        <f t="shared" si="27"/>
        <v>0</v>
      </c>
      <c r="U70" s="2">
        <f t="shared" si="27"/>
        <v>0</v>
      </c>
      <c r="V70" s="2">
        <f t="shared" si="27"/>
        <v>0</v>
      </c>
      <c r="W70" s="2">
        <f t="shared" si="27"/>
        <v>0</v>
      </c>
      <c r="X70" s="2">
        <f t="shared" si="27"/>
        <v>0</v>
      </c>
      <c r="Y70" s="2">
        <f t="shared" si="27"/>
        <v>0</v>
      </c>
      <c r="Z70" s="2">
        <f t="shared" si="27"/>
        <v>0</v>
      </c>
      <c r="AA70" s="2">
        <f t="shared" si="27"/>
        <v>0</v>
      </c>
      <c r="AB70" s="2">
        <f t="shared" si="27"/>
        <v>1</v>
      </c>
      <c r="AC70" s="2">
        <f t="shared" si="27"/>
        <v>1</v>
      </c>
      <c r="AD70" s="2">
        <f t="shared" si="27"/>
        <v>0</v>
      </c>
      <c r="AE70" s="2">
        <f t="shared" si="27"/>
        <v>2</v>
      </c>
      <c r="AF70" s="2">
        <f t="shared" si="27"/>
        <v>0</v>
      </c>
      <c r="AG70" s="2">
        <f t="shared" si="27"/>
        <v>1</v>
      </c>
      <c r="AH70" s="2">
        <f t="shared" si="27"/>
        <v>1</v>
      </c>
      <c r="AI70" s="2">
        <f t="shared" si="27"/>
        <v>2</v>
      </c>
      <c r="AJ70" s="2">
        <f t="shared" si="27"/>
        <v>0</v>
      </c>
    </row>
    <row r="71" spans="1:52" x14ac:dyDescent="0.3">
      <c r="A71" s="2"/>
      <c r="B71" s="5" t="s">
        <v>173</v>
      </c>
      <c r="C71" s="2"/>
      <c r="D71" s="2"/>
      <c r="E71" s="2"/>
      <c r="F71" s="2"/>
      <c r="G71" s="2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52" x14ac:dyDescent="0.3">
      <c r="A72" s="2"/>
      <c r="B72" s="285" t="s">
        <v>174</v>
      </c>
      <c r="C72" s="285"/>
      <c r="D72" s="3"/>
      <c r="E72" s="2"/>
      <c r="F72" s="2"/>
      <c r="G72" s="2"/>
      <c r="H72" s="3"/>
      <c r="I72" s="2">
        <f t="shared" ref="I72:AJ72" si="28">I5</f>
        <v>1</v>
      </c>
      <c r="J72" s="2">
        <f t="shared" si="28"/>
        <v>2</v>
      </c>
      <c r="K72" s="2">
        <f t="shared" si="28"/>
        <v>3</v>
      </c>
      <c r="L72" s="2">
        <f t="shared" si="28"/>
        <v>4</v>
      </c>
      <c r="M72" s="2">
        <f t="shared" si="28"/>
        <v>5</v>
      </c>
      <c r="N72" s="2">
        <f t="shared" si="28"/>
        <v>6</v>
      </c>
      <c r="O72" s="2">
        <f t="shared" si="28"/>
        <v>7</v>
      </c>
      <c r="P72" s="2">
        <f t="shared" si="28"/>
        <v>8</v>
      </c>
      <c r="Q72" s="2">
        <f t="shared" si="28"/>
        <v>9</v>
      </c>
      <c r="R72" s="2">
        <f>R5</f>
        <v>10</v>
      </c>
      <c r="S72" s="2">
        <f t="shared" si="28"/>
        <v>11</v>
      </c>
      <c r="T72" s="2">
        <f t="shared" si="28"/>
        <v>12</v>
      </c>
      <c r="U72" s="2">
        <f t="shared" si="28"/>
        <v>13</v>
      </c>
      <c r="V72" s="2">
        <f t="shared" si="28"/>
        <v>14</v>
      </c>
      <c r="W72" s="2">
        <f t="shared" si="28"/>
        <v>15</v>
      </c>
      <c r="X72" s="2">
        <f t="shared" si="28"/>
        <v>16</v>
      </c>
      <c r="Y72" s="2">
        <f t="shared" si="28"/>
        <v>17</v>
      </c>
      <c r="Z72" s="2">
        <f t="shared" si="28"/>
        <v>18</v>
      </c>
      <c r="AA72" s="2">
        <f t="shared" si="28"/>
        <v>19</v>
      </c>
      <c r="AB72" s="2">
        <f t="shared" si="28"/>
        <v>20</v>
      </c>
      <c r="AC72" s="2">
        <f t="shared" si="28"/>
        <v>21</v>
      </c>
      <c r="AD72" s="2">
        <f t="shared" si="28"/>
        <v>22</v>
      </c>
      <c r="AE72" s="2">
        <f t="shared" si="28"/>
        <v>23</v>
      </c>
      <c r="AF72" s="2">
        <f t="shared" si="28"/>
        <v>24</v>
      </c>
      <c r="AG72" s="2">
        <f t="shared" si="28"/>
        <v>25</v>
      </c>
      <c r="AH72" s="2">
        <f t="shared" si="28"/>
        <v>26</v>
      </c>
      <c r="AI72" s="2">
        <f t="shared" si="28"/>
        <v>27</v>
      </c>
      <c r="AJ72" s="2">
        <f t="shared" si="28"/>
        <v>28</v>
      </c>
      <c r="AK72" s="2"/>
      <c r="AL72" s="2"/>
      <c r="AM72" s="2"/>
      <c r="AS72" s="21" t="s">
        <v>23</v>
      </c>
      <c r="AT72" s="27"/>
      <c r="AW72" s="21" t="s">
        <v>20</v>
      </c>
      <c r="AX72" s="27"/>
    </row>
    <row r="73" spans="1:52" x14ac:dyDescent="0.3">
      <c r="A73" s="2"/>
      <c r="B73" s="285" t="s">
        <v>175</v>
      </c>
      <c r="C73" s="285"/>
      <c r="D73" s="3"/>
      <c r="E73" s="2"/>
      <c r="F73" s="2"/>
      <c r="G73" s="2"/>
      <c r="H73" s="3" t="s">
        <v>176</v>
      </c>
      <c r="I73" s="2">
        <f t="shared" ref="I73:AJ73" si="29">I69*8</f>
        <v>0</v>
      </c>
      <c r="J73" s="2">
        <f>J69*8</f>
        <v>16</v>
      </c>
      <c r="K73" s="2">
        <f t="shared" si="29"/>
        <v>32</v>
      </c>
      <c r="L73" s="2">
        <f t="shared" si="29"/>
        <v>24</v>
      </c>
      <c r="M73" s="2">
        <f t="shared" si="29"/>
        <v>24</v>
      </c>
      <c r="N73" s="2">
        <f t="shared" si="29"/>
        <v>32</v>
      </c>
      <c r="O73" s="2">
        <f t="shared" si="29"/>
        <v>0</v>
      </c>
      <c r="P73" s="2">
        <f t="shared" si="29"/>
        <v>0</v>
      </c>
      <c r="Q73" s="2">
        <f t="shared" si="29"/>
        <v>32</v>
      </c>
      <c r="R73" s="2">
        <f>R69*8</f>
        <v>48</v>
      </c>
      <c r="S73" s="2">
        <f>S69*8</f>
        <v>48</v>
      </c>
      <c r="T73" s="2">
        <f t="shared" si="29"/>
        <v>40</v>
      </c>
      <c r="U73" s="2">
        <f>U69*8</f>
        <v>48</v>
      </c>
      <c r="V73" s="2">
        <f t="shared" si="29"/>
        <v>0</v>
      </c>
      <c r="W73" s="2">
        <f t="shared" si="29"/>
        <v>0</v>
      </c>
      <c r="X73" s="2">
        <f t="shared" si="29"/>
        <v>40</v>
      </c>
      <c r="Y73" s="2">
        <f t="shared" si="29"/>
        <v>40</v>
      </c>
      <c r="Z73" s="2">
        <f t="shared" si="29"/>
        <v>40</v>
      </c>
      <c r="AA73" s="2">
        <f>AA69*8</f>
        <v>48</v>
      </c>
      <c r="AB73" s="2">
        <f t="shared" si="29"/>
        <v>48</v>
      </c>
      <c r="AC73" s="2">
        <f t="shared" si="29"/>
        <v>8</v>
      </c>
      <c r="AD73" s="2">
        <f t="shared" si="29"/>
        <v>0</v>
      </c>
      <c r="AE73" s="2">
        <f t="shared" si="29"/>
        <v>48</v>
      </c>
      <c r="AF73" s="2">
        <f t="shared" si="29"/>
        <v>56</v>
      </c>
      <c r="AG73" s="2">
        <f t="shared" si="29"/>
        <v>56</v>
      </c>
      <c r="AH73" s="2">
        <f t="shared" si="29"/>
        <v>56</v>
      </c>
      <c r="AI73" s="2">
        <f t="shared" si="29"/>
        <v>56</v>
      </c>
      <c r="AJ73" s="2">
        <f t="shared" si="29"/>
        <v>0</v>
      </c>
      <c r="AK73" s="1"/>
      <c r="AL73" s="1"/>
      <c r="AM73" s="1"/>
      <c r="AS73" s="28"/>
      <c r="AT73" s="29"/>
      <c r="AW73" s="28"/>
      <c r="AX73" s="29"/>
    </row>
    <row r="74" spans="1:52" x14ac:dyDescent="0.3">
      <c r="A74" s="2"/>
      <c r="B74" s="285" t="s">
        <v>177</v>
      </c>
      <c r="C74" s="285"/>
      <c r="D74" s="3"/>
      <c r="E74" s="2"/>
      <c r="F74" s="2"/>
      <c r="G74" s="2"/>
      <c r="H74" s="3" t="s">
        <v>178</v>
      </c>
      <c r="I74" s="52">
        <f t="shared" ref="I74" si="30">I73/I68</f>
        <v>0</v>
      </c>
      <c r="J74" s="52">
        <f>J73/J67</f>
        <v>4.2553191489361701E-2</v>
      </c>
      <c r="K74" s="52">
        <f t="shared" ref="K74:AJ74" si="31">K73/K67</f>
        <v>8.5106382978723402E-2</v>
      </c>
      <c r="L74" s="52">
        <f t="shared" si="31"/>
        <v>6.3829787234042548E-2</v>
      </c>
      <c r="M74" s="52">
        <f t="shared" si="31"/>
        <v>6.3829787234042548E-2</v>
      </c>
      <c r="N74" s="52">
        <f t="shared" si="31"/>
        <v>8.5106382978723402E-2</v>
      </c>
      <c r="O74" s="52">
        <f t="shared" si="31"/>
        <v>0</v>
      </c>
      <c r="P74" s="52">
        <f t="shared" si="31"/>
        <v>0</v>
      </c>
      <c r="Q74" s="52">
        <f t="shared" si="31"/>
        <v>8.5106382978723402E-2</v>
      </c>
      <c r="R74" s="52">
        <f>R73/R67</f>
        <v>0.1276595744680851</v>
      </c>
      <c r="S74" s="52">
        <f t="shared" si="31"/>
        <v>0.1276595744680851</v>
      </c>
      <c r="T74" s="52">
        <f t="shared" si="31"/>
        <v>0.10638297872340426</v>
      </c>
      <c r="U74" s="52">
        <f>U73/U67</f>
        <v>0.1276595744680851</v>
      </c>
      <c r="V74" s="52">
        <f t="shared" si="31"/>
        <v>0</v>
      </c>
      <c r="W74" s="52">
        <f t="shared" si="31"/>
        <v>0</v>
      </c>
      <c r="X74" s="52" t="e">
        <f t="shared" si="31"/>
        <v>#DIV/0!</v>
      </c>
      <c r="Y74" s="52" t="e">
        <f t="shared" si="31"/>
        <v>#DIV/0!</v>
      </c>
      <c r="Z74" s="52">
        <f t="shared" si="31"/>
        <v>0.10638297872340426</v>
      </c>
      <c r="AA74" s="52">
        <f t="shared" si="31"/>
        <v>0.1276595744680851</v>
      </c>
      <c r="AB74" s="52">
        <f t="shared" si="31"/>
        <v>0.1276595744680851</v>
      </c>
      <c r="AC74" s="52">
        <f t="shared" si="31"/>
        <v>3.5714285714285712E-2</v>
      </c>
      <c r="AD74" s="52" t="e">
        <f t="shared" si="31"/>
        <v>#DIV/0!</v>
      </c>
      <c r="AE74" s="52">
        <f t="shared" si="31"/>
        <v>0.1276595744680851</v>
      </c>
      <c r="AF74" s="52">
        <f t="shared" si="31"/>
        <v>0.14893617021276595</v>
      </c>
      <c r="AG74" s="52">
        <f t="shared" si="31"/>
        <v>0.14893617021276595</v>
      </c>
      <c r="AH74" s="52">
        <f t="shared" si="31"/>
        <v>0.14893617021276595</v>
      </c>
      <c r="AI74" s="52">
        <f t="shared" si="31"/>
        <v>0.15217391304347827</v>
      </c>
      <c r="AJ74" s="52">
        <f t="shared" si="31"/>
        <v>0</v>
      </c>
      <c r="AK74" s="1"/>
      <c r="AL74" s="1"/>
      <c r="AM74" s="1"/>
      <c r="AS74" s="33" t="s">
        <v>179</v>
      </c>
      <c r="AT74" s="32"/>
      <c r="AW74" s="33" t="s">
        <v>180</v>
      </c>
      <c r="AX74" s="32"/>
    </row>
    <row r="75" spans="1:52" x14ac:dyDescent="0.3">
      <c r="A75" s="1"/>
      <c r="B75" s="3" t="s">
        <v>181</v>
      </c>
      <c r="C75" s="3"/>
      <c r="D75" s="3"/>
      <c r="E75" s="120"/>
      <c r="F75" s="120"/>
      <c r="G75" s="120"/>
      <c r="H75" s="1"/>
      <c r="I75" s="120"/>
      <c r="J75" s="120"/>
      <c r="K75" s="286"/>
      <c r="L75" s="286"/>
      <c r="M75" s="120"/>
      <c r="N75" s="120"/>
      <c r="O75" s="120"/>
      <c r="P75" s="120"/>
      <c r="Q75" s="120"/>
      <c r="R75" s="286"/>
      <c r="S75" s="286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"/>
      <c r="AL75" s="1"/>
      <c r="AM75" s="1"/>
    </row>
    <row r="76" spans="1:52" x14ac:dyDescent="0.3">
      <c r="A76" s="1"/>
      <c r="B76" s="3" t="s">
        <v>182</v>
      </c>
      <c r="C76" s="3"/>
      <c r="D76" s="3"/>
      <c r="E76" s="120"/>
      <c r="F76" s="120"/>
      <c r="G76" s="120"/>
      <c r="H76" s="1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"/>
      <c r="AL76" s="1"/>
      <c r="AM76" s="1"/>
      <c r="AS76" s="21"/>
      <c r="AT76" s="26"/>
      <c r="AU76" s="27"/>
      <c r="AW76" s="21"/>
      <c r="AX76" s="26"/>
      <c r="AY76" s="27"/>
    </row>
    <row r="77" spans="1:52" x14ac:dyDescent="0.3">
      <c r="A77" s="1"/>
      <c r="B77" s="3" t="s">
        <v>183</v>
      </c>
      <c r="C77" s="3"/>
      <c r="D77" s="3"/>
      <c r="E77" s="120"/>
      <c r="F77" s="120"/>
      <c r="G77" s="120"/>
      <c r="H77" s="1"/>
      <c r="I77" s="120"/>
      <c r="J77" s="120"/>
      <c r="K77" s="286"/>
      <c r="L77" s="286"/>
      <c r="M77" s="120"/>
      <c r="N77" s="120"/>
      <c r="O77" s="120"/>
      <c r="P77" s="120"/>
      <c r="Q77" s="120"/>
      <c r="R77" s="286"/>
      <c r="S77" s="286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"/>
      <c r="AL77" s="1"/>
      <c r="AM77" s="1"/>
      <c r="AS77" s="28"/>
      <c r="AU77" s="29"/>
      <c r="AW77" s="28"/>
      <c r="AY77" s="29"/>
    </row>
    <row r="78" spans="1:52" x14ac:dyDescent="0.3">
      <c r="A78" s="1"/>
      <c r="B78" s="3" t="s">
        <v>184</v>
      </c>
      <c r="C78" s="3"/>
      <c r="D78" s="3"/>
      <c r="E78" s="120"/>
      <c r="F78" s="120"/>
      <c r="G78" s="120"/>
      <c r="H78" s="1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"/>
      <c r="AL78" s="1"/>
      <c r="AM78" s="1"/>
      <c r="AS78" s="30"/>
      <c r="AT78" s="31"/>
      <c r="AU78" s="32"/>
      <c r="AW78" s="30"/>
      <c r="AX78" s="31"/>
      <c r="AY78" s="32"/>
    </row>
    <row r="79" spans="1:52" x14ac:dyDescent="0.3">
      <c r="A79" s="1"/>
      <c r="B79" s="6" t="s">
        <v>185</v>
      </c>
      <c r="C79" s="7"/>
      <c r="D79" s="7"/>
      <c r="E79" s="120"/>
      <c r="F79" s="120"/>
      <c r="G79" s="120"/>
      <c r="H79" s="1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"/>
      <c r="AL79" s="1"/>
      <c r="AM79" s="1"/>
    </row>
    <row r="80" spans="1:52" x14ac:dyDescent="0.3">
      <c r="A80" s="1"/>
      <c r="B80" s="8" t="s">
        <v>186</v>
      </c>
      <c r="C80" s="7"/>
      <c r="D80" s="7"/>
      <c r="E80" s="120"/>
      <c r="F80" s="120"/>
      <c r="G80" s="120"/>
      <c r="H80" s="1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"/>
      <c r="AL80" s="1"/>
      <c r="AM80" s="1"/>
    </row>
    <row r="81" spans="1:39" x14ac:dyDescent="0.3">
      <c r="A81" s="1"/>
      <c r="B81" s="9" t="s">
        <v>187</v>
      </c>
      <c r="C81" s="1"/>
      <c r="D81" s="1"/>
      <c r="E81" s="120"/>
      <c r="F81" s="120"/>
      <c r="G81" s="120"/>
      <c r="H81" s="1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  <c r="AI81" s="120"/>
      <c r="AJ81" s="120"/>
      <c r="AK81" s="1"/>
    </row>
    <row r="82" spans="1:39" x14ac:dyDescent="0.3">
      <c r="A82" s="1"/>
      <c r="B82" s="10" t="s">
        <v>188</v>
      </c>
      <c r="C82" s="1"/>
      <c r="D82" s="1"/>
      <c r="E82" s="120"/>
      <c r="F82" s="120"/>
      <c r="G82" s="120"/>
      <c r="H82" s="1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</row>
    <row r="83" spans="1:39" x14ac:dyDescent="0.3">
      <c r="B83" s="13" t="s">
        <v>189</v>
      </c>
      <c r="AI83" s="120"/>
      <c r="AJ83" s="120"/>
      <c r="AK83" s="1"/>
      <c r="AL83" s="1"/>
    </row>
    <row r="84" spans="1:39" x14ac:dyDescent="0.3">
      <c r="B84" t="s">
        <v>190</v>
      </c>
      <c r="AL84" s="1"/>
      <c r="AM84" s="1"/>
    </row>
  </sheetData>
  <mergeCells count="32">
    <mergeCell ref="E2:H2"/>
    <mergeCell ref="A3:A5"/>
    <mergeCell ref="B3:B5"/>
    <mergeCell ref="C3:C5"/>
    <mergeCell ref="D3:D5"/>
    <mergeCell ref="E3:E5"/>
    <mergeCell ref="F3:F5"/>
    <mergeCell ref="G3:G5"/>
    <mergeCell ref="H3:H5"/>
    <mergeCell ref="B73:C73"/>
    <mergeCell ref="AQ3:AQ5"/>
    <mergeCell ref="AR3:AR5"/>
    <mergeCell ref="AS3:AS5"/>
    <mergeCell ref="AT3:AT5"/>
    <mergeCell ref="I3:AJ4"/>
    <mergeCell ref="AK3:AK5"/>
    <mergeCell ref="AL3:AL5"/>
    <mergeCell ref="AM3:AM5"/>
    <mergeCell ref="AO3:AO5"/>
    <mergeCell ref="AP3:AP5"/>
    <mergeCell ref="AW3:AW5"/>
    <mergeCell ref="AX3:AX5"/>
    <mergeCell ref="AY3:AY5"/>
    <mergeCell ref="AZ3:AZ5"/>
    <mergeCell ref="B72:C72"/>
    <mergeCell ref="AU3:AU5"/>
    <mergeCell ref="AV3:AV5"/>
    <mergeCell ref="B74:C74"/>
    <mergeCell ref="K75:L75"/>
    <mergeCell ref="R75:S75"/>
    <mergeCell ref="K77:L77"/>
    <mergeCell ref="R77:S7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ECB7-2D62-471D-A9C6-50F6AC14FE8A}">
  <dimension ref="A2:BB83"/>
  <sheetViews>
    <sheetView zoomScale="80" zoomScaleNormal="80" workbookViewId="0">
      <pane xSplit="8" ySplit="5" topLeftCell="Z14" activePane="bottomRight" state="frozen"/>
      <selection pane="topRight" activeCell="I1" sqref="I1"/>
      <selection pane="bottomLeft" activeCell="A6" sqref="A6"/>
      <selection pane="bottomRight" activeCell="A42" sqref="A42:XFD42"/>
    </sheetView>
  </sheetViews>
  <sheetFormatPr defaultRowHeight="14.4" x14ac:dyDescent="0.3"/>
  <cols>
    <col min="1" max="1" width="3.77734375" customWidth="1"/>
    <col min="2" max="2" width="20.77734375" customWidth="1"/>
    <col min="3" max="3" width="25.77734375" customWidth="1"/>
    <col min="4" max="4" width="12.77734375" customWidth="1"/>
    <col min="5" max="7" width="10.77734375" style="124" customWidth="1"/>
    <col min="8" max="8" width="15.77734375" style="263" customWidth="1"/>
    <col min="9" max="9" width="4.44140625" style="124" bestFit="1" customWidth="1"/>
    <col min="10" max="10" width="6" style="124" bestFit="1" customWidth="1"/>
    <col min="11" max="12" width="4.21875" style="124" bestFit="1" customWidth="1"/>
    <col min="13" max="13" width="4.77734375" style="124" bestFit="1" customWidth="1"/>
    <col min="14" max="14" width="4.44140625" style="124" customWidth="1"/>
    <col min="15" max="15" width="3.21875" style="124" bestFit="1" customWidth="1"/>
    <col min="16" max="16" width="4.21875" style="124" bestFit="1" customWidth="1"/>
    <col min="17" max="20" width="5.21875" style="124" bestFit="1" customWidth="1"/>
    <col min="21" max="30" width="6.77734375" style="124" bestFit="1" customWidth="1"/>
    <col min="31" max="31" width="7" style="124" bestFit="1" customWidth="1"/>
    <col min="32" max="34" width="6.77734375" style="124" bestFit="1" customWidth="1"/>
    <col min="35" max="35" width="7.44140625" style="124" bestFit="1" customWidth="1"/>
    <col min="36" max="36" width="3.33203125" style="124" bestFit="1" customWidth="1"/>
    <col min="37" max="38" width="6.77734375" style="124" customWidth="1"/>
    <col min="44" max="44" width="17" bestFit="1" customWidth="1"/>
    <col min="45" max="45" width="25.44140625" bestFit="1" customWidth="1"/>
  </cols>
  <sheetData>
    <row r="2" spans="1:54" x14ac:dyDescent="0.3">
      <c r="E2" s="311" t="s">
        <v>191</v>
      </c>
      <c r="F2" s="312"/>
      <c r="G2" s="312"/>
      <c r="H2" s="313"/>
    </row>
    <row r="3" spans="1:54" ht="14.7" customHeight="1" x14ac:dyDescent="0.3">
      <c r="A3" s="314" t="s">
        <v>1</v>
      </c>
      <c r="B3" s="317" t="s">
        <v>2</v>
      </c>
      <c r="C3" s="320" t="s">
        <v>3</v>
      </c>
      <c r="D3" s="323" t="s">
        <v>4</v>
      </c>
      <c r="E3" s="326" t="s">
        <v>192</v>
      </c>
      <c r="F3" s="326" t="s">
        <v>193</v>
      </c>
      <c r="G3" s="326" t="s">
        <v>194</v>
      </c>
      <c r="H3" s="329" t="s">
        <v>8</v>
      </c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33"/>
      <c r="AK3" s="233"/>
      <c r="AL3" s="233"/>
      <c r="AM3" s="300" t="s">
        <v>10</v>
      </c>
      <c r="AN3" s="303" t="s">
        <v>11</v>
      </c>
      <c r="AO3" s="300" t="s">
        <v>12</v>
      </c>
      <c r="AQ3" s="307" t="s">
        <v>1</v>
      </c>
      <c r="AR3" s="309" t="s">
        <v>2</v>
      </c>
      <c r="AS3" s="296" t="s">
        <v>3</v>
      </c>
      <c r="AT3" s="289" t="s">
        <v>13</v>
      </c>
      <c r="AU3" s="289" t="s">
        <v>12</v>
      </c>
      <c r="AV3" s="289" t="s">
        <v>14</v>
      </c>
      <c r="AW3" s="289" t="s">
        <v>15</v>
      </c>
      <c r="AX3" s="287" t="s">
        <v>16</v>
      </c>
      <c r="AY3" s="287" t="s">
        <v>16</v>
      </c>
      <c r="AZ3" s="289" t="s">
        <v>17</v>
      </c>
      <c r="BA3" s="291" t="s">
        <v>17</v>
      </c>
      <c r="BB3" s="293" t="s">
        <v>18</v>
      </c>
    </row>
    <row r="4" spans="1:54" ht="18" x14ac:dyDescent="0.3">
      <c r="A4" s="315"/>
      <c r="B4" s="318"/>
      <c r="C4" s="321"/>
      <c r="D4" s="324"/>
      <c r="E4" s="327"/>
      <c r="F4" s="327"/>
      <c r="G4" s="327"/>
      <c r="H4" s="330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234"/>
      <c r="AK4" s="234"/>
      <c r="AL4" s="234"/>
      <c r="AM4" s="301"/>
      <c r="AN4" s="304"/>
      <c r="AO4" s="301"/>
      <c r="AQ4" s="308"/>
      <c r="AR4" s="310"/>
      <c r="AS4" s="297"/>
      <c r="AT4" s="290"/>
      <c r="AU4" s="290"/>
      <c r="AV4" s="290"/>
      <c r="AW4" s="290"/>
      <c r="AX4" s="288"/>
      <c r="AY4" s="288"/>
      <c r="AZ4" s="290"/>
      <c r="BA4" s="292"/>
      <c r="BB4" s="294"/>
    </row>
    <row r="5" spans="1:54" x14ac:dyDescent="0.3">
      <c r="A5" s="316"/>
      <c r="B5" s="319"/>
      <c r="C5" s="322"/>
      <c r="D5" s="325"/>
      <c r="E5" s="328"/>
      <c r="F5" s="328"/>
      <c r="G5" s="328"/>
      <c r="H5" s="331"/>
      <c r="I5" s="169">
        <v>2</v>
      </c>
      <c r="J5" s="169">
        <v>3</v>
      </c>
      <c r="K5" s="169">
        <v>4</v>
      </c>
      <c r="L5" s="169">
        <v>5</v>
      </c>
      <c r="M5" s="212">
        <v>6</v>
      </c>
      <c r="N5" s="168">
        <v>7</v>
      </c>
      <c r="O5" s="170">
        <v>8</v>
      </c>
      <c r="P5" s="213">
        <v>9</v>
      </c>
      <c r="Q5" s="169">
        <v>10</v>
      </c>
      <c r="R5" s="169">
        <v>11</v>
      </c>
      <c r="S5" s="169">
        <v>12</v>
      </c>
      <c r="T5" s="212">
        <v>13</v>
      </c>
      <c r="U5" s="168">
        <v>14</v>
      </c>
      <c r="V5" s="170">
        <v>15</v>
      </c>
      <c r="W5" s="169">
        <v>16</v>
      </c>
      <c r="X5" s="169">
        <v>17</v>
      </c>
      <c r="Y5" s="169">
        <v>18</v>
      </c>
      <c r="Z5" s="169">
        <v>19</v>
      </c>
      <c r="AA5" s="212">
        <v>20</v>
      </c>
      <c r="AB5" s="168">
        <v>21</v>
      </c>
      <c r="AC5" s="170">
        <v>22</v>
      </c>
      <c r="AD5" s="249">
        <v>23</v>
      </c>
      <c r="AE5" s="250">
        <v>24</v>
      </c>
      <c r="AF5" s="250">
        <v>25</v>
      </c>
      <c r="AG5" s="251">
        <v>26</v>
      </c>
      <c r="AH5" s="88">
        <v>27</v>
      </c>
      <c r="AI5" s="235">
        <v>28</v>
      </c>
      <c r="AJ5" s="235">
        <v>29</v>
      </c>
      <c r="AK5" s="235">
        <v>30</v>
      </c>
      <c r="AL5" s="235">
        <v>31</v>
      </c>
      <c r="AM5" s="302"/>
      <c r="AN5" s="305"/>
      <c r="AO5" s="306"/>
      <c r="AQ5" s="308"/>
      <c r="AR5" s="310"/>
      <c r="AS5" s="297"/>
      <c r="AT5" s="290"/>
      <c r="AU5" s="290"/>
      <c r="AV5" s="290"/>
      <c r="AW5" s="290"/>
      <c r="AX5" s="288"/>
      <c r="AY5" s="288"/>
      <c r="AZ5" s="290"/>
      <c r="BA5" s="292"/>
      <c r="BB5" s="295"/>
    </row>
    <row r="6" spans="1:54" ht="15" thickBot="1" x14ac:dyDescent="0.35">
      <c r="A6" s="134">
        <v>1</v>
      </c>
      <c r="B6" s="178" t="s">
        <v>19</v>
      </c>
      <c r="C6" s="179" t="s">
        <v>20</v>
      </c>
      <c r="D6" s="141" t="s">
        <v>20</v>
      </c>
      <c r="E6" s="221">
        <v>2</v>
      </c>
      <c r="F6" s="153">
        <v>2</v>
      </c>
      <c r="G6" s="154">
        <v>2</v>
      </c>
      <c r="H6" s="267">
        <f>G6-E6-F6+(1*1.666)</f>
        <v>-0.33400000000000007</v>
      </c>
      <c r="I6" s="191">
        <v>8</v>
      </c>
      <c r="J6" s="191">
        <v>8</v>
      </c>
      <c r="K6" s="191">
        <v>8</v>
      </c>
      <c r="L6" s="191">
        <v>8</v>
      </c>
      <c r="M6" s="191">
        <v>8</v>
      </c>
      <c r="N6" s="214"/>
      <c r="O6" s="215"/>
      <c r="P6" s="167">
        <v>8</v>
      </c>
      <c r="Q6" s="200">
        <v>8</v>
      </c>
      <c r="R6" s="200">
        <v>8</v>
      </c>
      <c r="S6" s="200">
        <v>8</v>
      </c>
      <c r="T6" s="200">
        <v>8</v>
      </c>
      <c r="U6" s="166"/>
      <c r="V6" s="215"/>
      <c r="W6" s="167">
        <v>8</v>
      </c>
      <c r="X6" s="200">
        <v>8</v>
      </c>
      <c r="Y6" s="200">
        <v>8</v>
      </c>
      <c r="Z6" s="200">
        <v>8</v>
      </c>
      <c r="AA6" s="200">
        <v>8</v>
      </c>
      <c r="AB6" s="166"/>
      <c r="AC6" s="240"/>
      <c r="AD6" s="252"/>
      <c r="AE6" s="253"/>
      <c r="AF6" s="253"/>
      <c r="AG6" s="253"/>
      <c r="AH6" s="254"/>
      <c r="AI6" s="245"/>
      <c r="AJ6" s="236"/>
      <c r="AK6" s="272"/>
      <c r="AL6" s="272"/>
      <c r="AM6" s="156">
        <f>22*8</f>
        <v>176</v>
      </c>
      <c r="AN6" s="128">
        <f>SUM(I6:AL6)</f>
        <v>120</v>
      </c>
      <c r="AO6" s="130">
        <f t="shared" ref="AO6:AO56" si="0">AN6-AM6</f>
        <v>-56</v>
      </c>
      <c r="AQ6" s="134">
        <f t="shared" ref="AQ6:AS11" si="1">A6</f>
        <v>1</v>
      </c>
      <c r="AR6" s="107" t="str">
        <f t="shared" si="1"/>
        <v>Pejački Vladan</v>
      </c>
      <c r="AS6" s="77" t="str">
        <f t="shared" si="1"/>
        <v>Direktor</v>
      </c>
      <c r="AT6" s="99">
        <v>23</v>
      </c>
      <c r="AU6" s="100"/>
      <c r="AV6" s="100"/>
      <c r="AW6" s="100"/>
      <c r="AX6" s="35">
        <f>COUNTIF(J6:AI6,"bo")</f>
        <v>0</v>
      </c>
      <c r="AY6" s="101"/>
      <c r="AZ6" s="35">
        <f>(COUNTIF(J6:AI6,"go")*8+COUNTIF(J6:AI6,"sd")*8)/8</f>
        <v>0</v>
      </c>
      <c r="BA6" s="102"/>
      <c r="BB6" s="25"/>
    </row>
    <row r="7" spans="1:54" ht="15" thickBot="1" x14ac:dyDescent="0.35">
      <c r="A7" s="135">
        <v>2</v>
      </c>
      <c r="B7" s="126" t="s">
        <v>22</v>
      </c>
      <c r="C7" s="142" t="s">
        <v>23</v>
      </c>
      <c r="D7" s="142" t="s">
        <v>24</v>
      </c>
      <c r="E7" s="148">
        <v>6</v>
      </c>
      <c r="F7" s="151">
        <v>0</v>
      </c>
      <c r="G7" s="148">
        <v>20</v>
      </c>
      <c r="H7" s="267">
        <f t="shared" ref="H7:H62" si="2">G7-E7-F7+(1*1.666)</f>
        <v>15.666</v>
      </c>
      <c r="I7" s="191">
        <v>8</v>
      </c>
      <c r="J7" s="191">
        <v>8</v>
      </c>
      <c r="K7" s="191">
        <v>8</v>
      </c>
      <c r="L7" s="191">
        <v>8</v>
      </c>
      <c r="M7" s="191">
        <v>8</v>
      </c>
      <c r="N7" s="197"/>
      <c r="O7" s="163"/>
      <c r="P7" s="167">
        <v>8</v>
      </c>
      <c r="Q7" s="200">
        <v>8</v>
      </c>
      <c r="R7" s="200">
        <v>8</v>
      </c>
      <c r="S7" s="200">
        <v>8</v>
      </c>
      <c r="T7" s="200">
        <v>8</v>
      </c>
      <c r="U7" s="161"/>
      <c r="V7" s="163"/>
      <c r="W7" s="167">
        <v>8</v>
      </c>
      <c r="X7" s="200">
        <v>8</v>
      </c>
      <c r="Y7" s="200">
        <v>8</v>
      </c>
      <c r="Z7" s="200">
        <v>8</v>
      </c>
      <c r="AA7" s="200">
        <v>8</v>
      </c>
      <c r="AB7" s="161"/>
      <c r="AC7" s="241"/>
      <c r="AD7" s="255"/>
      <c r="AE7" s="200"/>
      <c r="AF7" s="200"/>
      <c r="AG7" s="200"/>
      <c r="AH7" s="256"/>
      <c r="AI7" s="245">
        <v>9</v>
      </c>
      <c r="AJ7" s="236">
        <v>5</v>
      </c>
      <c r="AK7" s="273"/>
      <c r="AL7" s="273"/>
      <c r="AM7" s="157">
        <f t="shared" ref="AM7:AM57" si="3">22*8</f>
        <v>176</v>
      </c>
      <c r="AN7" s="128">
        <f t="shared" ref="AN7:AN56" si="4">SUM(I7:AL7)</f>
        <v>134</v>
      </c>
      <c r="AO7" s="130">
        <f t="shared" si="0"/>
        <v>-42</v>
      </c>
      <c r="AQ7" s="135">
        <f t="shared" si="1"/>
        <v>2</v>
      </c>
      <c r="AR7" s="108" t="str">
        <f t="shared" si="1"/>
        <v>Nikola Rajić</v>
      </c>
      <c r="AS7" s="38" t="str">
        <f t="shared" si="1"/>
        <v>Menadžer proizvodnje</v>
      </c>
      <c r="AT7" s="91">
        <v>23</v>
      </c>
      <c r="AU7" s="94"/>
      <c r="AV7" s="92"/>
      <c r="AW7" s="92"/>
      <c r="AX7" s="36">
        <f>COUNTIF(J7:AI7,"bo")</f>
        <v>0</v>
      </c>
      <c r="AY7" s="93"/>
      <c r="AZ7" s="36">
        <f>(COUNTIF(J7:AI7,"go")*8+COUNTIF(J7:AI7,"sd")*8)/8</f>
        <v>0</v>
      </c>
      <c r="BA7" s="94"/>
      <c r="BB7" s="23"/>
    </row>
    <row r="8" spans="1:54" ht="15" thickBot="1" x14ac:dyDescent="0.35">
      <c r="A8" s="135">
        <v>3</v>
      </c>
      <c r="B8" s="126" t="s">
        <v>25</v>
      </c>
      <c r="C8" s="142" t="s">
        <v>26</v>
      </c>
      <c r="D8" s="142" t="s">
        <v>27</v>
      </c>
      <c r="E8" s="148">
        <v>12</v>
      </c>
      <c r="F8" s="151">
        <v>0</v>
      </c>
      <c r="G8" s="148">
        <v>16</v>
      </c>
      <c r="H8" s="267">
        <f>G8-E8-F8+(1*2)</f>
        <v>6</v>
      </c>
      <c r="I8" s="191">
        <v>8</v>
      </c>
      <c r="J8" s="191">
        <v>8</v>
      </c>
      <c r="K8" s="191">
        <v>8</v>
      </c>
      <c r="L8" s="191">
        <v>8</v>
      </c>
      <c r="M8" s="191">
        <v>8</v>
      </c>
      <c r="N8" s="197"/>
      <c r="O8" s="163"/>
      <c r="P8" s="167">
        <v>8</v>
      </c>
      <c r="Q8" s="200">
        <v>8</v>
      </c>
      <c r="R8" s="200">
        <v>8</v>
      </c>
      <c r="S8" s="200">
        <v>8</v>
      </c>
      <c r="T8" s="200">
        <v>8</v>
      </c>
      <c r="U8" s="161"/>
      <c r="V8" s="163"/>
      <c r="W8" s="167">
        <v>8</v>
      </c>
      <c r="X8" s="200">
        <v>8</v>
      </c>
      <c r="Y8" s="200">
        <v>8</v>
      </c>
      <c r="Z8" s="200">
        <v>8</v>
      </c>
      <c r="AA8" s="200">
        <v>8</v>
      </c>
      <c r="AB8" s="161"/>
      <c r="AC8" s="241"/>
      <c r="AD8" s="255"/>
      <c r="AE8" s="200"/>
      <c r="AF8" s="200"/>
      <c r="AG8" s="200"/>
      <c r="AH8" s="256"/>
      <c r="AI8" s="245"/>
      <c r="AJ8" s="236"/>
      <c r="AK8" s="273"/>
      <c r="AL8" s="273"/>
      <c r="AM8" s="157">
        <f t="shared" si="3"/>
        <v>176</v>
      </c>
      <c r="AN8" s="128">
        <f t="shared" si="4"/>
        <v>120</v>
      </c>
      <c r="AO8" s="130">
        <f t="shared" si="0"/>
        <v>-56</v>
      </c>
      <c r="AQ8" s="135">
        <f t="shared" si="1"/>
        <v>3</v>
      </c>
      <c r="AR8" s="108" t="str">
        <f t="shared" si="1"/>
        <v>Milan Janković</v>
      </c>
      <c r="AS8" s="38" t="str">
        <f t="shared" si="1"/>
        <v>Menadžer administracije</v>
      </c>
      <c r="AT8" s="91">
        <v>23</v>
      </c>
      <c r="AU8" s="92"/>
      <c r="AV8" s="92"/>
      <c r="AW8" s="92"/>
      <c r="AX8" s="36">
        <f>COUNTIF(J8:AI8,"bo")</f>
        <v>0</v>
      </c>
      <c r="AY8" s="93"/>
      <c r="AZ8" s="36">
        <f>(COUNTIF(J8:AI8,"go")*8+COUNTIF(J8:AI8,"sd")*8)/8</f>
        <v>0</v>
      </c>
      <c r="BA8" s="94"/>
      <c r="BB8" s="23"/>
    </row>
    <row r="9" spans="1:54" ht="15" thickBot="1" x14ac:dyDescent="0.35">
      <c r="A9" s="135">
        <v>4</v>
      </c>
      <c r="B9" s="126" t="s">
        <v>28</v>
      </c>
      <c r="C9" s="142" t="s">
        <v>29</v>
      </c>
      <c r="D9" s="142" t="s">
        <v>30</v>
      </c>
      <c r="E9" s="148">
        <v>10</v>
      </c>
      <c r="F9" s="151">
        <v>0</v>
      </c>
      <c r="G9" s="148">
        <v>20</v>
      </c>
      <c r="H9" s="267">
        <f t="shared" si="2"/>
        <v>11.666</v>
      </c>
      <c r="I9" s="191">
        <v>8</v>
      </c>
      <c r="J9" s="191">
        <v>8</v>
      </c>
      <c r="K9" s="191">
        <v>8</v>
      </c>
      <c r="L9" s="191">
        <v>8</v>
      </c>
      <c r="M9" s="191">
        <v>8</v>
      </c>
      <c r="N9" s="197"/>
      <c r="O9" s="163"/>
      <c r="P9" s="167">
        <v>8</v>
      </c>
      <c r="Q9" s="200">
        <v>8</v>
      </c>
      <c r="R9" s="200">
        <v>8</v>
      </c>
      <c r="S9" s="200">
        <v>8</v>
      </c>
      <c r="T9" s="200">
        <v>8</v>
      </c>
      <c r="U9" s="161"/>
      <c r="V9" s="163"/>
      <c r="W9" s="167">
        <v>8</v>
      </c>
      <c r="X9" s="200">
        <v>8</v>
      </c>
      <c r="Y9" s="200">
        <v>8</v>
      </c>
      <c r="Z9" s="200">
        <v>8</v>
      </c>
      <c r="AA9" s="200">
        <v>8</v>
      </c>
      <c r="AB9" s="161"/>
      <c r="AC9" s="241"/>
      <c r="AD9" s="255"/>
      <c r="AE9" s="200"/>
      <c r="AF9" s="200"/>
      <c r="AG9" s="200"/>
      <c r="AH9" s="256"/>
      <c r="AI9" s="245"/>
      <c r="AJ9" s="236"/>
      <c r="AK9" s="273"/>
      <c r="AL9" s="273"/>
      <c r="AM9" s="157">
        <f t="shared" si="3"/>
        <v>176</v>
      </c>
      <c r="AN9" s="128">
        <f t="shared" si="4"/>
        <v>120</v>
      </c>
      <c r="AO9" s="130">
        <f t="shared" si="0"/>
        <v>-56</v>
      </c>
      <c r="AQ9" s="135">
        <f t="shared" si="1"/>
        <v>4</v>
      </c>
      <c r="AR9" s="108" t="str">
        <f t="shared" si="1"/>
        <v>Jelena Miladinović</v>
      </c>
      <c r="AS9" s="38" t="str">
        <f t="shared" si="1"/>
        <v>Administrativni asistent</v>
      </c>
      <c r="AT9" s="91">
        <v>23</v>
      </c>
      <c r="AU9" s="92"/>
      <c r="AV9" s="92"/>
      <c r="AW9" s="92"/>
      <c r="AX9" s="36">
        <f>COUNTIF(J9:AI9,"bo")</f>
        <v>0</v>
      </c>
      <c r="AY9" s="93"/>
      <c r="AZ9" s="36">
        <f>(COUNTIF(J9:AI9,"go")*8+COUNTIF(J9:AI9,"sd")*8)/8</f>
        <v>0</v>
      </c>
      <c r="BA9" s="94"/>
      <c r="BB9" s="23"/>
    </row>
    <row r="10" spans="1:54" ht="15" thickBot="1" x14ac:dyDescent="0.35">
      <c r="A10" s="135">
        <v>5</v>
      </c>
      <c r="B10" s="127" t="s">
        <v>32</v>
      </c>
      <c r="C10" s="142" t="s">
        <v>29</v>
      </c>
      <c r="D10" s="142" t="s">
        <v>24</v>
      </c>
      <c r="E10" s="148">
        <v>16</v>
      </c>
      <c r="F10" s="151">
        <v>0</v>
      </c>
      <c r="G10" s="148">
        <v>20</v>
      </c>
      <c r="H10" s="267">
        <f t="shared" si="2"/>
        <v>5.6660000000000004</v>
      </c>
      <c r="I10" s="191">
        <v>8</v>
      </c>
      <c r="J10" s="191">
        <v>8</v>
      </c>
      <c r="K10" s="191">
        <v>8</v>
      </c>
      <c r="L10" s="191">
        <v>8</v>
      </c>
      <c r="M10" s="191">
        <v>8</v>
      </c>
      <c r="N10" s="197"/>
      <c r="O10" s="163"/>
      <c r="P10" s="167" t="s">
        <v>110</v>
      </c>
      <c r="Q10" s="167" t="s">
        <v>110</v>
      </c>
      <c r="R10" s="167" t="s">
        <v>110</v>
      </c>
      <c r="S10" s="167" t="s">
        <v>110</v>
      </c>
      <c r="T10" s="167" t="s">
        <v>110</v>
      </c>
      <c r="U10" s="161"/>
      <c r="V10" s="163"/>
      <c r="W10" s="167" t="s">
        <v>110</v>
      </c>
      <c r="X10" s="167" t="s">
        <v>110</v>
      </c>
      <c r="Y10" s="167" t="s">
        <v>110</v>
      </c>
      <c r="Z10" s="167" t="s">
        <v>110</v>
      </c>
      <c r="AA10" s="167" t="s">
        <v>110</v>
      </c>
      <c r="AB10" s="161"/>
      <c r="AC10" s="241"/>
      <c r="AD10" s="255"/>
      <c r="AE10" s="200"/>
      <c r="AF10" s="200"/>
      <c r="AG10" s="200"/>
      <c r="AH10" s="256"/>
      <c r="AI10" s="245"/>
      <c r="AJ10" s="236"/>
      <c r="AK10" s="273"/>
      <c r="AL10" s="273"/>
      <c r="AM10" s="157">
        <f t="shared" si="3"/>
        <v>176</v>
      </c>
      <c r="AN10" s="128">
        <f t="shared" si="4"/>
        <v>40</v>
      </c>
      <c r="AO10" s="130">
        <f t="shared" si="0"/>
        <v>-136</v>
      </c>
      <c r="AQ10" s="135">
        <f t="shared" si="1"/>
        <v>5</v>
      </c>
      <c r="AR10" s="108" t="str">
        <f t="shared" si="1"/>
        <v>Jelena Pavlović</v>
      </c>
      <c r="AS10" s="38" t="str">
        <f t="shared" si="1"/>
        <v>Administrativni asistent</v>
      </c>
      <c r="AT10" s="91">
        <v>18</v>
      </c>
      <c r="AU10" s="92"/>
      <c r="AV10" s="92"/>
      <c r="AW10" s="92"/>
      <c r="AX10" s="36">
        <v>4</v>
      </c>
      <c r="AY10" s="93" t="s">
        <v>33</v>
      </c>
      <c r="AZ10" s="36">
        <v>1</v>
      </c>
      <c r="BA10" s="94" t="s">
        <v>34</v>
      </c>
      <c r="BB10" s="23"/>
    </row>
    <row r="11" spans="1:54" ht="15" thickBot="1" x14ac:dyDescent="0.35">
      <c r="A11" s="135">
        <v>6</v>
      </c>
      <c r="B11" s="126" t="s">
        <v>35</v>
      </c>
      <c r="C11" s="142" t="s">
        <v>36</v>
      </c>
      <c r="D11" s="142" t="s">
        <v>37</v>
      </c>
      <c r="E11" s="148">
        <v>17</v>
      </c>
      <c r="F11" s="151">
        <v>0</v>
      </c>
      <c r="G11" s="148">
        <v>20</v>
      </c>
      <c r="H11" s="267">
        <f t="shared" si="2"/>
        <v>4.6660000000000004</v>
      </c>
      <c r="I11" s="191">
        <v>8</v>
      </c>
      <c r="J11" s="191">
        <v>8</v>
      </c>
      <c r="K11" s="191">
        <v>8</v>
      </c>
      <c r="L11" s="191">
        <v>8</v>
      </c>
      <c r="M11" s="191">
        <v>8</v>
      </c>
      <c r="N11" s="197"/>
      <c r="O11" s="163"/>
      <c r="P11" s="167">
        <v>8</v>
      </c>
      <c r="Q11" s="200">
        <v>8</v>
      </c>
      <c r="R11" s="200">
        <v>8</v>
      </c>
      <c r="S11" s="200">
        <v>8</v>
      </c>
      <c r="T11" s="200">
        <v>8</v>
      </c>
      <c r="U11" s="161"/>
      <c r="V11" s="163"/>
      <c r="W11" s="167">
        <v>8</v>
      </c>
      <c r="X11" s="200">
        <v>8</v>
      </c>
      <c r="Y11" s="200">
        <v>8</v>
      </c>
      <c r="Z11" s="200">
        <v>8</v>
      </c>
      <c r="AA11" s="200">
        <v>8</v>
      </c>
      <c r="AB11" s="161"/>
      <c r="AC11" s="241"/>
      <c r="AD11" s="255"/>
      <c r="AE11" s="200"/>
      <c r="AF11" s="200"/>
      <c r="AG11" s="200"/>
      <c r="AH11" s="256"/>
      <c r="AI11" s="245"/>
      <c r="AJ11" s="236"/>
      <c r="AK11" s="273"/>
      <c r="AL11" s="273"/>
      <c r="AM11" s="157">
        <f t="shared" si="3"/>
        <v>176</v>
      </c>
      <c r="AN11" s="128">
        <f t="shared" si="4"/>
        <v>120</v>
      </c>
      <c r="AO11" s="130">
        <f t="shared" si="0"/>
        <v>-56</v>
      </c>
      <c r="AQ11" s="135">
        <f t="shared" si="1"/>
        <v>6</v>
      </c>
      <c r="AR11" s="108" t="str">
        <f t="shared" si="1"/>
        <v>Mirjana Stojmirović</v>
      </c>
      <c r="AS11" s="38" t="str">
        <f t="shared" si="1"/>
        <v>Higijeničar</v>
      </c>
      <c r="AT11" s="91">
        <v>23</v>
      </c>
      <c r="AU11" s="92"/>
      <c r="AV11" s="92"/>
      <c r="AW11" s="92"/>
      <c r="AX11" s="36">
        <f>COUNTIF(J11:AI11,"bo")</f>
        <v>0</v>
      </c>
      <c r="AY11" s="93"/>
      <c r="AZ11" s="36">
        <f>(COUNTIF(J11:AI11,"go")*8+COUNTIF(J11:AI11,"sd")*8)/8</f>
        <v>0</v>
      </c>
      <c r="BA11" s="94"/>
      <c r="BB11" s="23"/>
    </row>
    <row r="12" spans="1:54" ht="15" customHeight="1" thickBot="1" x14ac:dyDescent="0.35">
      <c r="A12" s="135">
        <v>7</v>
      </c>
      <c r="B12" s="126" t="s">
        <v>38</v>
      </c>
      <c r="C12" s="142" t="s">
        <v>39</v>
      </c>
      <c r="D12" s="142" t="s">
        <v>40</v>
      </c>
      <c r="E12" s="220">
        <v>14</v>
      </c>
      <c r="F12" s="151">
        <v>3</v>
      </c>
      <c r="G12" s="148">
        <v>8</v>
      </c>
      <c r="H12" s="267">
        <f>G12-E12-F12+(1*1.83)</f>
        <v>-7.17</v>
      </c>
      <c r="I12" s="191">
        <v>8</v>
      </c>
      <c r="J12" s="191">
        <v>8</v>
      </c>
      <c r="K12" s="191">
        <v>8</v>
      </c>
      <c r="L12" s="191">
        <v>8</v>
      </c>
      <c r="M12" s="191">
        <v>8</v>
      </c>
      <c r="N12" s="197"/>
      <c r="O12" s="163"/>
      <c r="P12" s="167">
        <v>8</v>
      </c>
      <c r="Q12" s="200">
        <v>8</v>
      </c>
      <c r="R12" s="200">
        <v>8</v>
      </c>
      <c r="S12" s="200">
        <v>8</v>
      </c>
      <c r="T12" s="200">
        <v>8</v>
      </c>
      <c r="U12" s="161"/>
      <c r="V12" s="163"/>
      <c r="W12" s="167">
        <v>8</v>
      </c>
      <c r="X12" s="200">
        <v>8</v>
      </c>
      <c r="Y12" s="200">
        <v>8</v>
      </c>
      <c r="Z12" s="200">
        <v>8</v>
      </c>
      <c r="AA12" s="200">
        <v>8</v>
      </c>
      <c r="AB12" s="161"/>
      <c r="AC12" s="241"/>
      <c r="AD12" s="255"/>
      <c r="AE12" s="200"/>
      <c r="AF12" s="200"/>
      <c r="AG12" s="200"/>
      <c r="AH12" s="256"/>
      <c r="AI12" s="245"/>
      <c r="AJ12" s="236"/>
      <c r="AK12" s="273"/>
      <c r="AL12" s="273"/>
      <c r="AM12" s="157">
        <f t="shared" si="3"/>
        <v>176</v>
      </c>
      <c r="AN12" s="128">
        <f t="shared" si="4"/>
        <v>120</v>
      </c>
      <c r="AO12" s="130">
        <f t="shared" si="0"/>
        <v>-56</v>
      </c>
      <c r="AQ12" s="135">
        <v>7</v>
      </c>
      <c r="AR12" s="108" t="s">
        <v>38</v>
      </c>
      <c r="AS12" s="38" t="s">
        <v>39</v>
      </c>
      <c r="AT12" s="91">
        <v>20</v>
      </c>
      <c r="AU12" s="92"/>
      <c r="AV12" s="92"/>
      <c r="AW12" s="92"/>
      <c r="AX12" s="36">
        <v>0</v>
      </c>
      <c r="AY12" s="93"/>
      <c r="AZ12" s="36">
        <v>3</v>
      </c>
      <c r="BA12" s="94" t="s">
        <v>41</v>
      </c>
      <c r="BB12" s="23"/>
    </row>
    <row r="13" spans="1:54" ht="15" thickBot="1" x14ac:dyDescent="0.35">
      <c r="A13" s="135">
        <v>8</v>
      </c>
      <c r="B13" s="126" t="s">
        <v>42</v>
      </c>
      <c r="C13" s="142" t="s">
        <v>43</v>
      </c>
      <c r="D13" s="142" t="s">
        <v>44</v>
      </c>
      <c r="E13" s="148">
        <v>11</v>
      </c>
      <c r="F13" s="151">
        <v>0</v>
      </c>
      <c r="G13" s="148">
        <v>20</v>
      </c>
      <c r="H13" s="267">
        <f t="shared" si="2"/>
        <v>10.666</v>
      </c>
      <c r="I13" s="191">
        <v>8</v>
      </c>
      <c r="J13" s="167">
        <v>8</v>
      </c>
      <c r="K13" s="167">
        <v>8</v>
      </c>
      <c r="L13" s="167">
        <v>8</v>
      </c>
      <c r="M13" s="200">
        <v>8</v>
      </c>
      <c r="N13" s="197"/>
      <c r="O13" s="163"/>
      <c r="P13" s="167">
        <v>8</v>
      </c>
      <c r="Q13" s="200">
        <v>8</v>
      </c>
      <c r="R13" s="200">
        <v>8</v>
      </c>
      <c r="S13" s="200">
        <v>8</v>
      </c>
      <c r="T13" s="200">
        <v>8</v>
      </c>
      <c r="U13" s="197"/>
      <c r="V13" s="163">
        <v>1</v>
      </c>
      <c r="W13" s="167">
        <v>8</v>
      </c>
      <c r="X13" s="200">
        <v>8</v>
      </c>
      <c r="Y13" s="200">
        <v>8</v>
      </c>
      <c r="Z13" s="200">
        <v>8</v>
      </c>
      <c r="AA13" s="200">
        <v>8</v>
      </c>
      <c r="AB13" s="197">
        <v>8</v>
      </c>
      <c r="AC13" s="241"/>
      <c r="AD13" s="270">
        <v>8</v>
      </c>
      <c r="AE13" s="270">
        <v>8</v>
      </c>
      <c r="AF13" s="262">
        <v>8</v>
      </c>
      <c r="AG13" s="262">
        <v>8</v>
      </c>
      <c r="AH13" s="271">
        <v>10</v>
      </c>
      <c r="AI13" s="246"/>
      <c r="AJ13" s="237"/>
      <c r="AK13" s="274">
        <v>8</v>
      </c>
      <c r="AL13" s="274">
        <v>8</v>
      </c>
      <c r="AM13" s="157">
        <f t="shared" si="3"/>
        <v>176</v>
      </c>
      <c r="AN13" s="128">
        <f t="shared" si="4"/>
        <v>187</v>
      </c>
      <c r="AO13" s="130">
        <f t="shared" si="0"/>
        <v>11</v>
      </c>
      <c r="AQ13" s="135">
        <f t="shared" ref="AQ13:AQ43" si="5">A13</f>
        <v>8</v>
      </c>
      <c r="AR13" s="108" t="str">
        <f t="shared" ref="AR13:AR43" si="6">B13</f>
        <v>Sergej Solev</v>
      </c>
      <c r="AS13" s="38" t="str">
        <f t="shared" ref="AS13:AS43" si="7">C13</f>
        <v>Vođa smene</v>
      </c>
      <c r="AT13" s="76">
        <v>15</v>
      </c>
      <c r="AU13" s="20"/>
      <c r="AV13" s="20"/>
      <c r="AW13" s="22"/>
      <c r="AX13" s="36">
        <f t="shared" ref="AX13:AX37" si="8">COUNTIF(J13:AI13,"bo")</f>
        <v>0</v>
      </c>
      <c r="AY13" s="36"/>
      <c r="AZ13" s="36">
        <f t="shared" ref="AZ13:AZ20" si="9">(COUNTIF(J13:AI13,"go")*8+COUNTIF(J13:AI13,"sd")*8)/8</f>
        <v>0</v>
      </c>
      <c r="BA13" s="22"/>
      <c r="BB13" s="23"/>
    </row>
    <row r="14" spans="1:54" ht="15" thickBot="1" x14ac:dyDescent="0.35">
      <c r="A14" s="135">
        <v>9</v>
      </c>
      <c r="B14" s="126" t="s">
        <v>45</v>
      </c>
      <c r="C14" s="142" t="s">
        <v>43</v>
      </c>
      <c r="D14" s="142" t="s">
        <v>44</v>
      </c>
      <c r="E14" s="148">
        <v>14</v>
      </c>
      <c r="F14" s="151">
        <v>0</v>
      </c>
      <c r="G14" s="148">
        <v>20</v>
      </c>
      <c r="H14" s="267">
        <f t="shared" si="2"/>
        <v>7.6660000000000004</v>
      </c>
      <c r="I14" s="191">
        <v>8</v>
      </c>
      <c r="J14" s="167">
        <v>8</v>
      </c>
      <c r="K14" s="167">
        <v>8</v>
      </c>
      <c r="L14" s="167">
        <v>8</v>
      </c>
      <c r="M14" s="200">
        <v>8</v>
      </c>
      <c r="N14" s="197"/>
      <c r="O14" s="163"/>
      <c r="P14" s="167" t="s">
        <v>31</v>
      </c>
      <c r="Q14" s="200">
        <v>8</v>
      </c>
      <c r="R14" s="200">
        <v>8</v>
      </c>
      <c r="S14" s="200">
        <v>8</v>
      </c>
      <c r="T14" s="200">
        <v>8</v>
      </c>
      <c r="U14" s="197">
        <v>8</v>
      </c>
      <c r="V14" s="163"/>
      <c r="W14" s="261">
        <v>8</v>
      </c>
      <c r="X14" s="261">
        <v>8</v>
      </c>
      <c r="Y14" s="261">
        <v>8</v>
      </c>
      <c r="Z14" s="261">
        <v>8</v>
      </c>
      <c r="AA14" s="261">
        <v>8</v>
      </c>
      <c r="AB14" s="197"/>
      <c r="AC14" s="241">
        <v>1</v>
      </c>
      <c r="AD14" s="255">
        <v>8</v>
      </c>
      <c r="AE14" s="255">
        <v>8</v>
      </c>
      <c r="AF14" s="255">
        <v>8</v>
      </c>
      <c r="AG14" s="255">
        <v>8</v>
      </c>
      <c r="AH14" s="255">
        <v>8</v>
      </c>
      <c r="AI14" s="246"/>
      <c r="AJ14" s="237"/>
      <c r="AK14" s="274">
        <v>8</v>
      </c>
      <c r="AL14" s="274" t="s">
        <v>66</v>
      </c>
      <c r="AM14" s="157">
        <f t="shared" si="3"/>
        <v>176</v>
      </c>
      <c r="AN14" s="128">
        <f t="shared" si="4"/>
        <v>169</v>
      </c>
      <c r="AO14" s="130">
        <f t="shared" si="0"/>
        <v>-7</v>
      </c>
      <c r="AQ14" s="135">
        <f t="shared" si="5"/>
        <v>9</v>
      </c>
      <c r="AR14" s="108" t="str">
        <f t="shared" si="6"/>
        <v>Miloš Tacić</v>
      </c>
      <c r="AS14" s="38" t="str">
        <f t="shared" si="7"/>
        <v>Vođa smene</v>
      </c>
      <c r="AT14" s="76">
        <v>18</v>
      </c>
      <c r="AU14" s="20"/>
      <c r="AV14" s="20"/>
      <c r="AW14" s="22"/>
      <c r="AX14" s="36">
        <f t="shared" si="8"/>
        <v>0</v>
      </c>
      <c r="AY14" s="36"/>
      <c r="AZ14" s="36">
        <f t="shared" si="9"/>
        <v>0</v>
      </c>
      <c r="BA14" s="22"/>
      <c r="BB14" s="23"/>
    </row>
    <row r="15" spans="1:54" ht="15" thickBot="1" x14ac:dyDescent="0.35">
      <c r="A15" s="135">
        <v>10</v>
      </c>
      <c r="B15" s="126" t="s">
        <v>46</v>
      </c>
      <c r="C15" s="142" t="s">
        <v>43</v>
      </c>
      <c r="D15" s="142" t="s">
        <v>44</v>
      </c>
      <c r="E15" s="219">
        <v>20</v>
      </c>
      <c r="F15" s="151">
        <v>0</v>
      </c>
      <c r="G15" s="148">
        <v>20</v>
      </c>
      <c r="H15" s="267">
        <f t="shared" si="2"/>
        <v>1.6659999999999999</v>
      </c>
      <c r="I15" s="191">
        <v>8</v>
      </c>
      <c r="J15" s="167">
        <v>8</v>
      </c>
      <c r="K15" s="167" t="s">
        <v>110</v>
      </c>
      <c r="L15" s="167" t="s">
        <v>110</v>
      </c>
      <c r="M15" s="167" t="s">
        <v>110</v>
      </c>
      <c r="N15" s="197"/>
      <c r="O15" s="163"/>
      <c r="P15" s="167" t="s">
        <v>110</v>
      </c>
      <c r="Q15" s="200" t="s">
        <v>110</v>
      </c>
      <c r="R15" s="200" t="s">
        <v>110</v>
      </c>
      <c r="S15" s="200" t="s">
        <v>110</v>
      </c>
      <c r="T15" s="200" t="s">
        <v>110</v>
      </c>
      <c r="U15" s="197"/>
      <c r="V15" s="163"/>
      <c r="W15" s="167" t="s">
        <v>110</v>
      </c>
      <c r="X15" s="167" t="s">
        <v>110</v>
      </c>
      <c r="Y15" s="167" t="s">
        <v>110</v>
      </c>
      <c r="Z15" s="269" t="s">
        <v>110</v>
      </c>
      <c r="AA15" s="269" t="s">
        <v>110</v>
      </c>
      <c r="AB15" s="197"/>
      <c r="AC15" s="241"/>
      <c r="AD15" s="255">
        <v>8</v>
      </c>
      <c r="AE15" s="255">
        <v>8</v>
      </c>
      <c r="AF15" s="255">
        <v>8</v>
      </c>
      <c r="AG15" s="255">
        <v>8</v>
      </c>
      <c r="AH15" s="255">
        <v>8</v>
      </c>
      <c r="AI15" s="247">
        <v>8</v>
      </c>
      <c r="AJ15" s="238"/>
      <c r="AK15" s="275">
        <v>8</v>
      </c>
      <c r="AL15" s="275">
        <v>8</v>
      </c>
      <c r="AM15" s="157">
        <f t="shared" si="3"/>
        <v>176</v>
      </c>
      <c r="AN15" s="128">
        <f t="shared" si="4"/>
        <v>80</v>
      </c>
      <c r="AO15" s="130">
        <f t="shared" si="0"/>
        <v>-96</v>
      </c>
      <c r="AQ15" s="135">
        <f t="shared" si="5"/>
        <v>10</v>
      </c>
      <c r="AR15" s="108" t="str">
        <f t="shared" si="6"/>
        <v>Lazar Panajotović</v>
      </c>
      <c r="AS15" s="38" t="str">
        <f t="shared" si="7"/>
        <v>Vođa smene</v>
      </c>
      <c r="AT15" s="76">
        <v>13</v>
      </c>
      <c r="AU15" s="20"/>
      <c r="AV15" s="20"/>
      <c r="AW15" s="22"/>
      <c r="AX15" s="36">
        <f t="shared" si="8"/>
        <v>13</v>
      </c>
      <c r="AY15" s="36"/>
      <c r="AZ15" s="36">
        <f t="shared" si="9"/>
        <v>0</v>
      </c>
      <c r="BA15" s="22"/>
      <c r="BB15" s="23"/>
    </row>
    <row r="16" spans="1:54" ht="15" thickBot="1" x14ac:dyDescent="0.35">
      <c r="A16" s="135">
        <v>11</v>
      </c>
      <c r="B16" s="126" t="s">
        <v>47</v>
      </c>
      <c r="C16" s="142" t="s">
        <v>48</v>
      </c>
      <c r="D16" s="142" t="s">
        <v>49</v>
      </c>
      <c r="E16" s="219">
        <v>20</v>
      </c>
      <c r="F16" s="151">
        <v>0</v>
      </c>
      <c r="G16" s="148">
        <v>20</v>
      </c>
      <c r="H16" s="267">
        <f t="shared" si="2"/>
        <v>1.6659999999999999</v>
      </c>
      <c r="I16" s="191">
        <v>8</v>
      </c>
      <c r="J16" s="167">
        <v>8</v>
      </c>
      <c r="K16" s="167">
        <v>8</v>
      </c>
      <c r="L16" s="167">
        <v>8</v>
      </c>
      <c r="M16" s="200">
        <v>8</v>
      </c>
      <c r="N16" s="197"/>
      <c r="O16" s="163"/>
      <c r="P16" s="261">
        <v>8</v>
      </c>
      <c r="Q16" s="262">
        <v>8</v>
      </c>
      <c r="R16" s="262">
        <v>8</v>
      </c>
      <c r="S16" s="262">
        <v>8</v>
      </c>
      <c r="T16" s="262">
        <v>8</v>
      </c>
      <c r="U16" s="197"/>
      <c r="V16" s="163"/>
      <c r="W16" s="167">
        <v>8</v>
      </c>
      <c r="X16" s="200">
        <v>8</v>
      </c>
      <c r="Y16" s="200">
        <v>8</v>
      </c>
      <c r="Z16" s="200">
        <v>8</v>
      </c>
      <c r="AA16" s="200">
        <v>8</v>
      </c>
      <c r="AB16" s="197"/>
      <c r="AC16" s="241"/>
      <c r="AD16" s="255">
        <v>8</v>
      </c>
      <c r="AE16" s="255">
        <v>8</v>
      </c>
      <c r="AF16" s="255">
        <v>8</v>
      </c>
      <c r="AG16" s="255">
        <v>8</v>
      </c>
      <c r="AH16" s="255">
        <v>8</v>
      </c>
      <c r="AI16" s="246">
        <v>4</v>
      </c>
      <c r="AJ16" s="237"/>
      <c r="AK16" s="277">
        <v>8</v>
      </c>
      <c r="AL16" s="277">
        <v>8</v>
      </c>
      <c r="AM16" s="157">
        <f t="shared" si="3"/>
        <v>176</v>
      </c>
      <c r="AN16" s="128">
        <f t="shared" si="4"/>
        <v>180</v>
      </c>
      <c r="AO16" s="130">
        <f t="shared" si="0"/>
        <v>4</v>
      </c>
      <c r="AQ16" s="135">
        <f t="shared" si="5"/>
        <v>11</v>
      </c>
      <c r="AR16" s="108" t="str">
        <f t="shared" si="6"/>
        <v>Nenad Radojević</v>
      </c>
      <c r="AS16" s="38" t="str">
        <f t="shared" si="7"/>
        <v>Viljuškarista</v>
      </c>
      <c r="AT16" s="76">
        <v>15</v>
      </c>
      <c r="AU16" s="20"/>
      <c r="AV16" s="20"/>
      <c r="AW16" s="22"/>
      <c r="AX16" s="36">
        <f t="shared" si="8"/>
        <v>0</v>
      </c>
      <c r="AY16" s="36" t="s">
        <v>50</v>
      </c>
      <c r="AZ16" s="36">
        <f t="shared" si="9"/>
        <v>0</v>
      </c>
      <c r="BA16" s="22"/>
      <c r="BB16" s="23"/>
    </row>
    <row r="17" spans="1:54" ht="15" thickBot="1" x14ac:dyDescent="0.35">
      <c r="A17" s="135">
        <v>12</v>
      </c>
      <c r="B17" s="126" t="s">
        <v>51</v>
      </c>
      <c r="C17" s="142" t="s">
        <v>48</v>
      </c>
      <c r="D17" s="142" t="s">
        <v>52</v>
      </c>
      <c r="E17" s="148">
        <v>14</v>
      </c>
      <c r="F17" s="151">
        <v>0</v>
      </c>
      <c r="G17" s="148">
        <v>20</v>
      </c>
      <c r="H17" s="267">
        <f t="shared" si="2"/>
        <v>7.6660000000000004</v>
      </c>
      <c r="I17" s="260">
        <v>8</v>
      </c>
      <c r="J17" s="261">
        <v>8</v>
      </c>
      <c r="K17" s="261">
        <v>8</v>
      </c>
      <c r="L17" s="261">
        <v>8</v>
      </c>
      <c r="M17" s="262">
        <v>8</v>
      </c>
      <c r="N17" s="197"/>
      <c r="O17" s="163"/>
      <c r="P17" s="167">
        <v>8</v>
      </c>
      <c r="Q17" s="200">
        <v>8</v>
      </c>
      <c r="R17" s="200">
        <v>8</v>
      </c>
      <c r="S17" s="200">
        <v>8</v>
      </c>
      <c r="T17" s="200">
        <v>8</v>
      </c>
      <c r="U17" s="197"/>
      <c r="V17" s="163"/>
      <c r="W17" s="167">
        <v>8</v>
      </c>
      <c r="X17" s="200">
        <v>8</v>
      </c>
      <c r="Y17" s="200">
        <v>8</v>
      </c>
      <c r="Z17" s="200">
        <v>8</v>
      </c>
      <c r="AA17" s="200">
        <v>8</v>
      </c>
      <c r="AB17" s="197"/>
      <c r="AC17" s="241"/>
      <c r="AD17" s="270">
        <v>8</v>
      </c>
      <c r="AE17" s="262">
        <v>8</v>
      </c>
      <c r="AF17" s="262">
        <v>8</v>
      </c>
      <c r="AG17" s="262">
        <v>8</v>
      </c>
      <c r="AH17" s="271">
        <v>8</v>
      </c>
      <c r="AI17" s="246"/>
      <c r="AJ17" s="237"/>
      <c r="AK17" s="274">
        <v>8</v>
      </c>
      <c r="AL17" s="274">
        <v>8</v>
      </c>
      <c r="AM17" s="157">
        <f t="shared" si="3"/>
        <v>176</v>
      </c>
      <c r="AN17" s="128">
        <f t="shared" si="4"/>
        <v>176</v>
      </c>
      <c r="AO17" s="130">
        <f t="shared" si="0"/>
        <v>0</v>
      </c>
      <c r="AQ17" s="135">
        <f t="shared" si="5"/>
        <v>12</v>
      </c>
      <c r="AR17" s="108" t="str">
        <f t="shared" si="6"/>
        <v>Darko Perić</v>
      </c>
      <c r="AS17" s="38" t="str">
        <f t="shared" si="7"/>
        <v>Viljuškarista</v>
      </c>
      <c r="AT17" s="76">
        <v>14</v>
      </c>
      <c r="AU17" s="20"/>
      <c r="AV17" s="20"/>
      <c r="AW17" s="22"/>
      <c r="AX17" s="36">
        <f t="shared" si="8"/>
        <v>0</v>
      </c>
      <c r="AY17" s="36"/>
      <c r="AZ17" s="36">
        <f t="shared" si="9"/>
        <v>0</v>
      </c>
      <c r="BA17" s="22" t="s">
        <v>53</v>
      </c>
      <c r="BB17" s="23"/>
    </row>
    <row r="18" spans="1:54" ht="15" thickBot="1" x14ac:dyDescent="0.35">
      <c r="A18" s="135">
        <v>13</v>
      </c>
      <c r="B18" s="126" t="s">
        <v>54</v>
      </c>
      <c r="C18" s="142" t="s">
        <v>48</v>
      </c>
      <c r="D18" s="142" t="s">
        <v>52</v>
      </c>
      <c r="E18" s="219">
        <v>20</v>
      </c>
      <c r="F18" s="151">
        <v>2</v>
      </c>
      <c r="G18" s="148">
        <v>20</v>
      </c>
      <c r="H18" s="267">
        <f t="shared" si="2"/>
        <v>-0.33400000000000007</v>
      </c>
      <c r="I18" s="191">
        <v>8</v>
      </c>
      <c r="J18" s="167">
        <v>8</v>
      </c>
      <c r="K18" s="167">
        <v>8</v>
      </c>
      <c r="L18" s="167" t="s">
        <v>66</v>
      </c>
      <c r="M18" s="200" t="s">
        <v>66</v>
      </c>
      <c r="N18" s="197"/>
      <c r="O18" s="163"/>
      <c r="P18" s="167" t="s">
        <v>199</v>
      </c>
      <c r="Q18" s="200" t="s">
        <v>199</v>
      </c>
      <c r="R18" s="200" t="s">
        <v>199</v>
      </c>
      <c r="S18" s="262">
        <v>8</v>
      </c>
      <c r="T18" s="262">
        <v>8</v>
      </c>
      <c r="U18" s="197"/>
      <c r="V18" s="163"/>
      <c r="W18" s="167">
        <v>8</v>
      </c>
      <c r="X18" s="200">
        <v>8</v>
      </c>
      <c r="Y18" s="200">
        <v>8</v>
      </c>
      <c r="Z18" s="200">
        <v>8</v>
      </c>
      <c r="AA18" s="200">
        <v>8</v>
      </c>
      <c r="AB18" s="197"/>
      <c r="AC18" s="241"/>
      <c r="AD18" s="255">
        <v>8</v>
      </c>
      <c r="AE18" s="255">
        <v>8</v>
      </c>
      <c r="AF18" s="255">
        <v>8</v>
      </c>
      <c r="AG18" s="255">
        <v>8</v>
      </c>
      <c r="AH18" s="255">
        <v>8</v>
      </c>
      <c r="AI18" s="246">
        <v>4</v>
      </c>
      <c r="AJ18" s="237"/>
      <c r="AK18" s="277">
        <v>8</v>
      </c>
      <c r="AL18" s="277">
        <v>8</v>
      </c>
      <c r="AM18" s="157">
        <f t="shared" si="3"/>
        <v>176</v>
      </c>
      <c r="AN18" s="128">
        <f t="shared" si="4"/>
        <v>140</v>
      </c>
      <c r="AO18" s="130">
        <f t="shared" si="0"/>
        <v>-36</v>
      </c>
      <c r="AQ18" s="135">
        <f t="shared" si="5"/>
        <v>13</v>
      </c>
      <c r="AR18" s="108" t="str">
        <f t="shared" si="6"/>
        <v>Željko Perić</v>
      </c>
      <c r="AS18" s="38" t="str">
        <f t="shared" si="7"/>
        <v>Viljuškarista</v>
      </c>
      <c r="AT18" s="76">
        <v>13</v>
      </c>
      <c r="AU18" s="20"/>
      <c r="AV18" s="20"/>
      <c r="AW18" s="22"/>
      <c r="AX18" s="36">
        <f t="shared" si="8"/>
        <v>0</v>
      </c>
      <c r="AY18" s="36"/>
      <c r="AZ18" s="36">
        <f t="shared" si="9"/>
        <v>2</v>
      </c>
      <c r="BA18" s="22"/>
      <c r="BB18" s="23"/>
    </row>
    <row r="19" spans="1:54" ht="15" thickBot="1" x14ac:dyDescent="0.35">
      <c r="A19" s="135">
        <v>14</v>
      </c>
      <c r="B19" s="126" t="s">
        <v>55</v>
      </c>
      <c r="C19" s="142" t="s">
        <v>56</v>
      </c>
      <c r="D19" s="142" t="s">
        <v>57</v>
      </c>
      <c r="E19" s="148">
        <v>20</v>
      </c>
      <c r="F19" s="151">
        <v>0</v>
      </c>
      <c r="G19" s="148">
        <v>20</v>
      </c>
      <c r="H19" s="267">
        <f t="shared" si="2"/>
        <v>1.6659999999999999</v>
      </c>
      <c r="I19" s="191">
        <v>8</v>
      </c>
      <c r="J19" s="167">
        <v>8</v>
      </c>
      <c r="K19" s="167">
        <v>8</v>
      </c>
      <c r="L19" s="167">
        <v>8</v>
      </c>
      <c r="M19" s="200">
        <v>8</v>
      </c>
      <c r="N19" s="197"/>
      <c r="O19" s="163"/>
      <c r="P19" s="167">
        <v>8</v>
      </c>
      <c r="Q19" s="200">
        <v>8</v>
      </c>
      <c r="R19" s="200">
        <v>8</v>
      </c>
      <c r="S19" s="200">
        <v>8</v>
      </c>
      <c r="T19" s="200">
        <v>8</v>
      </c>
      <c r="U19" s="197"/>
      <c r="V19" s="163"/>
      <c r="W19" s="261">
        <v>8</v>
      </c>
      <c r="X19" s="261">
        <v>8</v>
      </c>
      <c r="Y19" s="261">
        <v>8</v>
      </c>
      <c r="Z19" s="261">
        <v>8</v>
      </c>
      <c r="AA19" s="261">
        <v>8</v>
      </c>
      <c r="AB19" s="197"/>
      <c r="AC19" s="241"/>
      <c r="AD19" s="255">
        <v>8</v>
      </c>
      <c r="AE19" s="255">
        <v>8</v>
      </c>
      <c r="AF19" s="255">
        <v>8</v>
      </c>
      <c r="AG19" s="255">
        <v>8</v>
      </c>
      <c r="AH19" s="255">
        <v>8</v>
      </c>
      <c r="AI19" s="246"/>
      <c r="AJ19" s="237"/>
      <c r="AK19" s="274">
        <v>8</v>
      </c>
      <c r="AL19" s="274">
        <v>8</v>
      </c>
      <c r="AM19" s="158">
        <f t="shared" si="3"/>
        <v>176</v>
      </c>
      <c r="AN19" s="128">
        <f t="shared" si="4"/>
        <v>176</v>
      </c>
      <c r="AO19" s="130">
        <f t="shared" si="0"/>
        <v>0</v>
      </c>
      <c r="AQ19" s="135">
        <f t="shared" si="5"/>
        <v>14</v>
      </c>
      <c r="AR19" s="108" t="str">
        <f t="shared" si="6"/>
        <v>Zlatan Stojmirović</v>
      </c>
      <c r="AS19" s="38" t="str">
        <f t="shared" si="7"/>
        <v>Proizvodnja gumica</v>
      </c>
      <c r="AT19" s="76">
        <v>18</v>
      </c>
      <c r="AU19" s="22"/>
      <c r="AV19" s="22"/>
      <c r="AW19" s="22"/>
      <c r="AX19" s="36">
        <f t="shared" si="8"/>
        <v>0</v>
      </c>
      <c r="AY19" s="36" t="s">
        <v>58</v>
      </c>
      <c r="AZ19" s="36">
        <f t="shared" si="9"/>
        <v>0</v>
      </c>
      <c r="BA19" s="22" t="s">
        <v>59</v>
      </c>
      <c r="BB19" s="23"/>
    </row>
    <row r="20" spans="1:54" ht="15" thickBot="1" x14ac:dyDescent="0.35">
      <c r="A20" s="135">
        <v>15</v>
      </c>
      <c r="B20" s="126" t="s">
        <v>60</v>
      </c>
      <c r="C20" s="142" t="s">
        <v>61</v>
      </c>
      <c r="D20" s="142" t="s">
        <v>62</v>
      </c>
      <c r="E20" s="148">
        <v>18</v>
      </c>
      <c r="F20" s="151">
        <v>0</v>
      </c>
      <c r="G20" s="148">
        <v>20</v>
      </c>
      <c r="H20" s="267">
        <f t="shared" si="2"/>
        <v>3.6659999999999999</v>
      </c>
      <c r="I20" s="191">
        <v>8</v>
      </c>
      <c r="J20" s="167">
        <v>8</v>
      </c>
      <c r="K20" s="167">
        <v>8</v>
      </c>
      <c r="L20" s="167">
        <v>8</v>
      </c>
      <c r="M20" s="200">
        <v>8</v>
      </c>
      <c r="N20" s="197"/>
      <c r="O20" s="163"/>
      <c r="P20" s="261">
        <v>8</v>
      </c>
      <c r="Q20" s="262">
        <v>8</v>
      </c>
      <c r="R20" s="262">
        <v>8</v>
      </c>
      <c r="S20" s="262">
        <v>8</v>
      </c>
      <c r="T20" s="262">
        <v>8</v>
      </c>
      <c r="U20" s="197"/>
      <c r="V20" s="163"/>
      <c r="W20" s="167">
        <v>8</v>
      </c>
      <c r="X20" s="200">
        <v>8</v>
      </c>
      <c r="Y20" s="200">
        <v>8</v>
      </c>
      <c r="Z20" s="200">
        <v>8</v>
      </c>
      <c r="AA20" s="200">
        <v>8</v>
      </c>
      <c r="AB20" s="197"/>
      <c r="AC20" s="241"/>
      <c r="AD20" s="255">
        <v>8</v>
      </c>
      <c r="AE20" s="255">
        <v>8</v>
      </c>
      <c r="AF20" s="255">
        <v>8</v>
      </c>
      <c r="AG20" s="255">
        <v>8</v>
      </c>
      <c r="AH20" s="255">
        <v>8</v>
      </c>
      <c r="AI20" s="246"/>
      <c r="AJ20" s="237"/>
      <c r="AK20" s="277">
        <v>8</v>
      </c>
      <c r="AL20" s="277">
        <v>8</v>
      </c>
      <c r="AM20" s="158">
        <f t="shared" si="3"/>
        <v>176</v>
      </c>
      <c r="AN20" s="128">
        <f t="shared" si="4"/>
        <v>176</v>
      </c>
      <c r="AO20" s="130">
        <f t="shared" si="0"/>
        <v>0</v>
      </c>
      <c r="AQ20" s="135">
        <f t="shared" si="5"/>
        <v>15</v>
      </c>
      <c r="AR20" s="108" t="str">
        <f t="shared" si="6"/>
        <v>Miodrag Kostić</v>
      </c>
      <c r="AS20" s="38" t="str">
        <f t="shared" si="7"/>
        <v>Compact - L1</v>
      </c>
      <c r="AT20" s="76">
        <v>18</v>
      </c>
      <c r="AU20" s="22"/>
      <c r="AV20" s="20"/>
      <c r="AW20" s="22"/>
      <c r="AX20" s="36">
        <f t="shared" si="8"/>
        <v>0</v>
      </c>
      <c r="AY20" s="36" t="s">
        <v>64</v>
      </c>
      <c r="AZ20" s="36">
        <f t="shared" si="9"/>
        <v>0</v>
      </c>
      <c r="BA20" s="22"/>
      <c r="BB20" s="23"/>
    </row>
    <row r="21" spans="1:54" ht="15" thickBot="1" x14ac:dyDescent="0.35">
      <c r="A21" s="135">
        <v>16</v>
      </c>
      <c r="B21" s="126" t="s">
        <v>65</v>
      </c>
      <c r="C21" s="142" t="s">
        <v>61</v>
      </c>
      <c r="D21" s="142" t="s">
        <v>62</v>
      </c>
      <c r="E21" s="148">
        <v>14</v>
      </c>
      <c r="F21" s="151">
        <v>0</v>
      </c>
      <c r="G21" s="148">
        <v>20</v>
      </c>
      <c r="H21" s="267">
        <f t="shared" si="2"/>
        <v>7.6660000000000004</v>
      </c>
      <c r="I21" s="191">
        <v>8</v>
      </c>
      <c r="J21" s="167">
        <v>8</v>
      </c>
      <c r="K21" s="167">
        <v>8</v>
      </c>
      <c r="L21" s="167">
        <v>8</v>
      </c>
      <c r="M21" s="200">
        <v>8</v>
      </c>
      <c r="N21" s="197"/>
      <c r="O21" s="163"/>
      <c r="P21" s="167">
        <v>8</v>
      </c>
      <c r="Q21" s="200">
        <v>8</v>
      </c>
      <c r="R21" s="200">
        <v>8</v>
      </c>
      <c r="S21" s="200">
        <v>8</v>
      </c>
      <c r="T21" s="200">
        <v>8</v>
      </c>
      <c r="U21" s="197"/>
      <c r="V21" s="163"/>
      <c r="W21" s="261">
        <v>8</v>
      </c>
      <c r="X21" s="261">
        <v>8</v>
      </c>
      <c r="Y21" s="261">
        <v>8</v>
      </c>
      <c r="Z21" s="261">
        <v>8</v>
      </c>
      <c r="AA21" s="261">
        <v>8</v>
      </c>
      <c r="AB21" s="197"/>
      <c r="AC21" s="241"/>
      <c r="AD21" s="255">
        <v>8</v>
      </c>
      <c r="AE21" s="255">
        <v>8</v>
      </c>
      <c r="AF21" s="255">
        <v>8</v>
      </c>
      <c r="AG21" s="255">
        <v>8</v>
      </c>
      <c r="AH21" s="255">
        <v>8</v>
      </c>
      <c r="AI21" s="246"/>
      <c r="AJ21" s="237"/>
      <c r="AK21" s="274">
        <v>8</v>
      </c>
      <c r="AL21" s="274">
        <v>8</v>
      </c>
      <c r="AM21" s="158">
        <f t="shared" si="3"/>
        <v>176</v>
      </c>
      <c r="AN21" s="128">
        <f t="shared" si="4"/>
        <v>176</v>
      </c>
      <c r="AO21" s="130">
        <f t="shared" si="0"/>
        <v>0</v>
      </c>
      <c r="AQ21" s="135">
        <f t="shared" si="5"/>
        <v>16</v>
      </c>
      <c r="AR21" s="108" t="str">
        <f t="shared" si="6"/>
        <v>Bojan Mikić</v>
      </c>
      <c r="AS21" s="38" t="str">
        <f t="shared" si="7"/>
        <v>Compact - L1</v>
      </c>
      <c r="AT21" s="76">
        <v>19</v>
      </c>
      <c r="AU21" s="22"/>
      <c r="AV21" s="20"/>
      <c r="AW21" s="22"/>
      <c r="AX21" s="36">
        <f t="shared" si="8"/>
        <v>0</v>
      </c>
      <c r="AY21" s="36" t="s">
        <v>67</v>
      </c>
      <c r="AZ21" s="36">
        <v>0</v>
      </c>
      <c r="BA21" s="22"/>
      <c r="BB21" s="23"/>
    </row>
    <row r="22" spans="1:54" ht="15" thickBot="1" x14ac:dyDescent="0.35">
      <c r="A22" s="135">
        <v>17</v>
      </c>
      <c r="B22" s="126" t="s">
        <v>68</v>
      </c>
      <c r="C22" s="142" t="s">
        <v>69</v>
      </c>
      <c r="D22" s="142" t="s">
        <v>52</v>
      </c>
      <c r="E22" s="148">
        <v>17</v>
      </c>
      <c r="F22" s="151">
        <v>0</v>
      </c>
      <c r="G22" s="148">
        <v>18</v>
      </c>
      <c r="H22" s="267">
        <f t="shared" si="2"/>
        <v>2.6659999999999999</v>
      </c>
      <c r="I22" s="191">
        <v>8</v>
      </c>
      <c r="J22" s="167">
        <v>8</v>
      </c>
      <c r="K22" s="167">
        <v>8</v>
      </c>
      <c r="L22" s="167">
        <v>8</v>
      </c>
      <c r="M22" s="200">
        <v>8</v>
      </c>
      <c r="N22" s="197"/>
      <c r="O22" s="163"/>
      <c r="P22" s="167">
        <v>8</v>
      </c>
      <c r="Q22" s="200">
        <v>8</v>
      </c>
      <c r="R22" s="200">
        <v>8</v>
      </c>
      <c r="S22" s="200">
        <v>8</v>
      </c>
      <c r="T22" s="200">
        <v>8</v>
      </c>
      <c r="U22" s="197"/>
      <c r="V22" s="163"/>
      <c r="W22" s="261">
        <v>8</v>
      </c>
      <c r="X22" s="261">
        <v>8</v>
      </c>
      <c r="Y22" s="261">
        <v>8</v>
      </c>
      <c r="Z22" s="261">
        <v>8</v>
      </c>
      <c r="AA22" s="261">
        <v>8</v>
      </c>
      <c r="AB22" s="197"/>
      <c r="AC22" s="241"/>
      <c r="AD22" s="255">
        <v>8</v>
      </c>
      <c r="AE22" s="255">
        <v>8</v>
      </c>
      <c r="AF22" s="255">
        <v>8</v>
      </c>
      <c r="AG22" s="255">
        <v>8</v>
      </c>
      <c r="AH22" s="255">
        <v>8</v>
      </c>
      <c r="AI22" s="246"/>
      <c r="AJ22" s="237"/>
      <c r="AK22" s="274">
        <v>8</v>
      </c>
      <c r="AL22" s="274">
        <v>8</v>
      </c>
      <c r="AM22" s="158">
        <f t="shared" si="3"/>
        <v>176</v>
      </c>
      <c r="AN22" s="128">
        <f t="shared" si="4"/>
        <v>176</v>
      </c>
      <c r="AO22" s="130">
        <f t="shared" si="0"/>
        <v>0</v>
      </c>
      <c r="AQ22" s="135">
        <f t="shared" si="5"/>
        <v>17</v>
      </c>
      <c r="AR22" s="108" t="str">
        <f t="shared" si="6"/>
        <v>Miloš Miloradović</v>
      </c>
      <c r="AS22" s="38" t="str">
        <f t="shared" si="7"/>
        <v>Compact - (OBUKA)</v>
      </c>
      <c r="AT22" s="76">
        <v>18</v>
      </c>
      <c r="AU22" s="22"/>
      <c r="AV22" s="20"/>
      <c r="AW22" s="22"/>
      <c r="AX22" s="36">
        <f t="shared" si="8"/>
        <v>0</v>
      </c>
      <c r="AY22" s="36"/>
      <c r="AZ22" s="36">
        <f t="shared" ref="AZ22:AZ31" si="10">(COUNTIF(J22:AI22,"go")*8+COUNTIF(J22:AI22,"sd")*8)/8</f>
        <v>0</v>
      </c>
      <c r="BA22" s="22"/>
      <c r="BB22" s="23"/>
    </row>
    <row r="23" spans="1:54" ht="15" thickBot="1" x14ac:dyDescent="0.35">
      <c r="A23" s="135">
        <v>18</v>
      </c>
      <c r="B23" s="126" t="s">
        <v>70</v>
      </c>
      <c r="C23" s="142" t="s">
        <v>71</v>
      </c>
      <c r="D23" s="142" t="s">
        <v>72</v>
      </c>
      <c r="E23" s="219">
        <v>20</v>
      </c>
      <c r="F23" s="151">
        <v>3</v>
      </c>
      <c r="G23" s="148">
        <v>20</v>
      </c>
      <c r="H23" s="267">
        <f t="shared" si="2"/>
        <v>-1.3340000000000001</v>
      </c>
      <c r="I23" s="191">
        <v>8</v>
      </c>
      <c r="J23" s="167">
        <v>8</v>
      </c>
      <c r="K23" s="167">
        <v>8</v>
      </c>
      <c r="L23" s="167">
        <v>8</v>
      </c>
      <c r="M23" s="200">
        <v>8</v>
      </c>
      <c r="N23" s="197"/>
      <c r="O23" s="163"/>
      <c r="P23" s="167">
        <v>8</v>
      </c>
      <c r="Q23" s="200">
        <v>8</v>
      </c>
      <c r="R23" s="200">
        <v>8</v>
      </c>
      <c r="S23" s="200">
        <v>8</v>
      </c>
      <c r="T23" s="200">
        <v>8</v>
      </c>
      <c r="U23" s="197"/>
      <c r="V23" s="163"/>
      <c r="W23" s="261">
        <v>8</v>
      </c>
      <c r="X23" s="261">
        <v>8</v>
      </c>
      <c r="Y23" s="261">
        <v>8</v>
      </c>
      <c r="Z23" s="261">
        <v>8</v>
      </c>
      <c r="AA23" s="261">
        <v>8</v>
      </c>
      <c r="AB23" s="197"/>
      <c r="AC23" s="241"/>
      <c r="AD23" s="255">
        <v>8</v>
      </c>
      <c r="AE23" s="255">
        <v>8</v>
      </c>
      <c r="AF23" s="255">
        <v>8</v>
      </c>
      <c r="AG23" s="255">
        <v>8</v>
      </c>
      <c r="AH23" s="255">
        <v>8</v>
      </c>
      <c r="AI23" s="246"/>
      <c r="AJ23" s="237"/>
      <c r="AK23" s="274">
        <v>8</v>
      </c>
      <c r="AL23" s="274">
        <v>8</v>
      </c>
      <c r="AM23" s="158">
        <f t="shared" si="3"/>
        <v>176</v>
      </c>
      <c r="AN23" s="128">
        <f t="shared" si="4"/>
        <v>176</v>
      </c>
      <c r="AO23" s="130">
        <f t="shared" si="0"/>
        <v>0</v>
      </c>
      <c r="AQ23" s="135">
        <f t="shared" si="5"/>
        <v>18</v>
      </c>
      <c r="AR23" s="108" t="str">
        <f t="shared" si="6"/>
        <v>Dragan Marković</v>
      </c>
      <c r="AS23" s="38" t="str">
        <f t="shared" si="7"/>
        <v>Universal - Demontaža mala L2</v>
      </c>
      <c r="AT23" s="76">
        <v>16</v>
      </c>
      <c r="AU23" s="22"/>
      <c r="AV23" s="20"/>
      <c r="AW23" s="22"/>
      <c r="AX23" s="36">
        <f t="shared" si="8"/>
        <v>0</v>
      </c>
      <c r="AY23" s="36"/>
      <c r="AZ23" s="36">
        <f t="shared" si="10"/>
        <v>0</v>
      </c>
      <c r="BA23" s="22" t="s">
        <v>73</v>
      </c>
      <c r="BB23" s="23"/>
    </row>
    <row r="24" spans="1:54" ht="15" thickBot="1" x14ac:dyDescent="0.35">
      <c r="A24" s="135">
        <v>19</v>
      </c>
      <c r="B24" s="126" t="s">
        <v>74</v>
      </c>
      <c r="C24" s="142" t="s">
        <v>75</v>
      </c>
      <c r="D24" s="142" t="s">
        <v>76</v>
      </c>
      <c r="E24" s="148">
        <v>17</v>
      </c>
      <c r="F24" s="151">
        <v>0</v>
      </c>
      <c r="G24" s="148">
        <v>20</v>
      </c>
      <c r="H24" s="267">
        <f t="shared" si="2"/>
        <v>4.6660000000000004</v>
      </c>
      <c r="I24" s="191">
        <v>8</v>
      </c>
      <c r="J24" s="167">
        <v>8</v>
      </c>
      <c r="K24" s="167">
        <v>8</v>
      </c>
      <c r="L24" s="167">
        <v>8</v>
      </c>
      <c r="M24" s="200">
        <v>8</v>
      </c>
      <c r="N24" s="197"/>
      <c r="O24" s="163"/>
      <c r="P24" s="167">
        <v>8</v>
      </c>
      <c r="Q24" s="262">
        <v>8</v>
      </c>
      <c r="R24" s="262">
        <v>8</v>
      </c>
      <c r="S24" s="200">
        <v>8</v>
      </c>
      <c r="T24" s="200">
        <v>8</v>
      </c>
      <c r="U24" s="197"/>
      <c r="V24" s="163"/>
      <c r="W24" s="167" t="s">
        <v>110</v>
      </c>
      <c r="X24" s="200" t="s">
        <v>110</v>
      </c>
      <c r="Y24" s="200" t="s">
        <v>110</v>
      </c>
      <c r="Z24" s="200" t="s">
        <v>110</v>
      </c>
      <c r="AA24" s="200" t="s">
        <v>110</v>
      </c>
      <c r="AB24" s="197"/>
      <c r="AC24" s="241"/>
      <c r="AD24" s="255">
        <v>8</v>
      </c>
      <c r="AE24" s="255">
        <v>8</v>
      </c>
      <c r="AF24" s="255">
        <v>8</v>
      </c>
      <c r="AG24" s="255">
        <v>8</v>
      </c>
      <c r="AH24" s="255">
        <v>8</v>
      </c>
      <c r="AI24" s="246"/>
      <c r="AJ24" s="237"/>
      <c r="AK24" s="274">
        <v>8</v>
      </c>
      <c r="AL24" s="274">
        <v>8</v>
      </c>
      <c r="AM24" s="158">
        <f t="shared" si="3"/>
        <v>176</v>
      </c>
      <c r="AN24" s="128">
        <f t="shared" si="4"/>
        <v>136</v>
      </c>
      <c r="AO24" s="130">
        <f t="shared" si="0"/>
        <v>-40</v>
      </c>
      <c r="AQ24" s="135">
        <f t="shared" si="5"/>
        <v>19</v>
      </c>
      <c r="AR24" s="108" t="str">
        <f t="shared" si="6"/>
        <v>Predrag Maksić</v>
      </c>
      <c r="AS24" s="38" t="str">
        <f t="shared" si="7"/>
        <v>Universal - Livenje L2</v>
      </c>
      <c r="AT24" s="76">
        <v>23</v>
      </c>
      <c r="AU24" s="20"/>
      <c r="AV24" s="20"/>
      <c r="AW24" s="22"/>
      <c r="AX24" s="36">
        <f t="shared" si="8"/>
        <v>5</v>
      </c>
      <c r="AY24" s="36"/>
      <c r="AZ24" s="36">
        <f t="shared" si="10"/>
        <v>0</v>
      </c>
      <c r="BA24" s="22"/>
      <c r="BB24" s="23"/>
    </row>
    <row r="25" spans="1:54" ht="15" thickBot="1" x14ac:dyDescent="0.35">
      <c r="A25" s="135">
        <v>20</v>
      </c>
      <c r="B25" s="126" t="s">
        <v>77</v>
      </c>
      <c r="C25" s="142" t="s">
        <v>78</v>
      </c>
      <c r="D25" s="142" t="s">
        <v>57</v>
      </c>
      <c r="E25" s="148">
        <v>14</v>
      </c>
      <c r="F25" s="151">
        <v>0</v>
      </c>
      <c r="G25" s="148">
        <v>20</v>
      </c>
      <c r="H25" s="267">
        <f t="shared" si="2"/>
        <v>7.6660000000000004</v>
      </c>
      <c r="I25" s="260">
        <v>8</v>
      </c>
      <c r="J25" s="261">
        <v>8</v>
      </c>
      <c r="K25" s="261">
        <v>8</v>
      </c>
      <c r="L25" s="261">
        <v>8</v>
      </c>
      <c r="M25" s="262">
        <v>8</v>
      </c>
      <c r="N25" s="197"/>
      <c r="O25" s="163"/>
      <c r="P25" s="167">
        <v>8</v>
      </c>
      <c r="Q25" s="200">
        <v>8</v>
      </c>
      <c r="R25" s="200">
        <v>8</v>
      </c>
      <c r="S25" s="200">
        <v>8</v>
      </c>
      <c r="T25" s="200">
        <v>8</v>
      </c>
      <c r="U25" s="197"/>
      <c r="V25" s="163"/>
      <c r="W25" s="167">
        <v>8</v>
      </c>
      <c r="X25" s="200">
        <v>8</v>
      </c>
      <c r="Y25" s="200">
        <v>8</v>
      </c>
      <c r="Z25" s="200">
        <v>8</v>
      </c>
      <c r="AA25" s="200">
        <v>8</v>
      </c>
      <c r="AB25" s="197"/>
      <c r="AC25" s="241"/>
      <c r="AD25" s="270">
        <v>8</v>
      </c>
      <c r="AE25" s="262">
        <v>8</v>
      </c>
      <c r="AF25" s="262">
        <v>8</v>
      </c>
      <c r="AG25" s="262">
        <v>8</v>
      </c>
      <c r="AH25" s="271">
        <v>8</v>
      </c>
      <c r="AI25" s="246"/>
      <c r="AJ25" s="237"/>
      <c r="AK25" s="274">
        <v>8</v>
      </c>
      <c r="AL25" s="274">
        <v>8</v>
      </c>
      <c r="AM25" s="158">
        <f t="shared" si="3"/>
        <v>176</v>
      </c>
      <c r="AN25" s="128">
        <f t="shared" si="4"/>
        <v>176</v>
      </c>
      <c r="AO25" s="130">
        <f t="shared" si="0"/>
        <v>0</v>
      </c>
      <c r="AQ25" s="135">
        <f t="shared" si="5"/>
        <v>20</v>
      </c>
      <c r="AR25" s="108" t="str">
        <f t="shared" si="6"/>
        <v>Nemanja Đorđević</v>
      </c>
      <c r="AS25" s="38" t="str">
        <f t="shared" si="7"/>
        <v>Univerzal - Demontaža, mala L2</v>
      </c>
      <c r="AT25" s="76">
        <v>14</v>
      </c>
      <c r="AU25" s="22"/>
      <c r="AV25" s="20"/>
      <c r="AW25" s="22"/>
      <c r="AX25" s="36">
        <f t="shared" si="8"/>
        <v>0</v>
      </c>
      <c r="AY25" s="36"/>
      <c r="AZ25" s="36">
        <f t="shared" si="10"/>
        <v>0</v>
      </c>
      <c r="BA25" s="22" t="s">
        <v>79</v>
      </c>
      <c r="BB25" s="23"/>
    </row>
    <row r="26" spans="1:54" ht="15" thickBot="1" x14ac:dyDescent="0.35">
      <c r="A26" s="135">
        <v>21</v>
      </c>
      <c r="B26" s="126" t="s">
        <v>80</v>
      </c>
      <c r="C26" s="142" t="s">
        <v>81</v>
      </c>
      <c r="D26" s="142" t="s">
        <v>57</v>
      </c>
      <c r="E26" s="219">
        <v>20</v>
      </c>
      <c r="F26" s="151">
        <v>0</v>
      </c>
      <c r="G26" s="148">
        <v>20</v>
      </c>
      <c r="H26" s="267">
        <f t="shared" si="2"/>
        <v>1.6659999999999999</v>
      </c>
      <c r="I26" s="260">
        <v>8</v>
      </c>
      <c r="J26" s="261">
        <v>8</v>
      </c>
      <c r="K26" s="261">
        <v>8</v>
      </c>
      <c r="L26" s="261">
        <v>8</v>
      </c>
      <c r="M26" s="262">
        <v>8</v>
      </c>
      <c r="N26" s="197"/>
      <c r="O26" s="163"/>
      <c r="P26" s="167">
        <v>8</v>
      </c>
      <c r="Q26" s="200">
        <v>8</v>
      </c>
      <c r="R26" s="200">
        <v>8</v>
      </c>
      <c r="S26" s="200">
        <v>8</v>
      </c>
      <c r="T26" s="200">
        <v>8</v>
      </c>
      <c r="U26" s="197"/>
      <c r="V26" s="163"/>
      <c r="W26" s="167">
        <v>8</v>
      </c>
      <c r="X26" s="200">
        <v>8</v>
      </c>
      <c r="Y26" s="200">
        <v>8</v>
      </c>
      <c r="Z26" s="200">
        <v>8</v>
      </c>
      <c r="AA26" s="200">
        <v>8</v>
      </c>
      <c r="AB26" s="197"/>
      <c r="AC26" s="241"/>
      <c r="AD26" s="270">
        <v>8</v>
      </c>
      <c r="AE26" s="262">
        <v>8</v>
      </c>
      <c r="AF26" s="262">
        <v>8</v>
      </c>
      <c r="AG26" s="262">
        <v>8</v>
      </c>
      <c r="AH26" s="271">
        <v>8</v>
      </c>
      <c r="AI26" s="246"/>
      <c r="AJ26" s="237"/>
      <c r="AK26" s="274">
        <v>8</v>
      </c>
      <c r="AL26" s="274">
        <v>8</v>
      </c>
      <c r="AM26" s="158">
        <f t="shared" si="3"/>
        <v>176</v>
      </c>
      <c r="AN26" s="128">
        <f t="shared" si="4"/>
        <v>176</v>
      </c>
      <c r="AO26" s="130">
        <f t="shared" si="0"/>
        <v>0</v>
      </c>
      <c r="AQ26" s="135">
        <f t="shared" si="5"/>
        <v>21</v>
      </c>
      <c r="AR26" s="108" t="str">
        <f t="shared" si="6"/>
        <v>Željko Ranković</v>
      </c>
      <c r="AS26" s="38" t="str">
        <f t="shared" si="7"/>
        <v>Universal - Demontaža Mala L2</v>
      </c>
      <c r="AT26" s="76">
        <v>15</v>
      </c>
      <c r="AU26" s="22"/>
      <c r="AV26" s="20"/>
      <c r="AW26" s="22"/>
      <c r="AX26" s="36">
        <f t="shared" si="8"/>
        <v>0</v>
      </c>
      <c r="AY26" s="36"/>
      <c r="AZ26" s="36">
        <f t="shared" si="10"/>
        <v>0</v>
      </c>
      <c r="BA26" s="22"/>
      <c r="BB26" s="23"/>
    </row>
    <row r="27" spans="1:54" ht="15" thickBot="1" x14ac:dyDescent="0.35">
      <c r="A27" s="135">
        <v>22</v>
      </c>
      <c r="B27" s="126" t="s">
        <v>82</v>
      </c>
      <c r="C27" s="142" t="s">
        <v>81</v>
      </c>
      <c r="D27" s="142" t="s">
        <v>57</v>
      </c>
      <c r="E27" s="148">
        <v>17</v>
      </c>
      <c r="F27" s="151">
        <v>0</v>
      </c>
      <c r="G27" s="148">
        <v>20</v>
      </c>
      <c r="H27" s="267">
        <f t="shared" si="2"/>
        <v>4.6660000000000004</v>
      </c>
      <c r="I27" s="191" t="s">
        <v>110</v>
      </c>
      <c r="J27" s="191" t="s">
        <v>110</v>
      </c>
      <c r="K27" s="191" t="s">
        <v>110</v>
      </c>
      <c r="L27" s="191" t="s">
        <v>110</v>
      </c>
      <c r="M27" s="191" t="s">
        <v>110</v>
      </c>
      <c r="N27" s="197"/>
      <c r="O27" s="163"/>
      <c r="P27" s="261">
        <v>8</v>
      </c>
      <c r="Q27" s="262">
        <v>8</v>
      </c>
      <c r="R27" s="262">
        <v>8</v>
      </c>
      <c r="S27" s="262">
        <v>8</v>
      </c>
      <c r="T27" s="262">
        <v>8</v>
      </c>
      <c r="U27" s="197"/>
      <c r="V27" s="163"/>
      <c r="W27" s="167">
        <v>8</v>
      </c>
      <c r="X27" s="200">
        <v>8</v>
      </c>
      <c r="Y27" s="200">
        <v>8</v>
      </c>
      <c r="Z27" s="200">
        <v>8</v>
      </c>
      <c r="AA27" s="200">
        <v>8</v>
      </c>
      <c r="AB27" s="197"/>
      <c r="AC27" s="241"/>
      <c r="AD27" s="255">
        <v>8</v>
      </c>
      <c r="AE27" s="255">
        <v>8</v>
      </c>
      <c r="AF27" s="255">
        <v>8</v>
      </c>
      <c r="AG27" s="255">
        <v>8</v>
      </c>
      <c r="AH27" s="255">
        <v>8</v>
      </c>
      <c r="AI27" s="246"/>
      <c r="AJ27" s="237"/>
      <c r="AK27" s="277">
        <v>8</v>
      </c>
      <c r="AL27" s="277">
        <v>8</v>
      </c>
      <c r="AM27" s="158">
        <f t="shared" si="3"/>
        <v>176</v>
      </c>
      <c r="AN27" s="128">
        <f t="shared" si="4"/>
        <v>136</v>
      </c>
      <c r="AO27" s="130">
        <f t="shared" si="0"/>
        <v>-40</v>
      </c>
      <c r="AQ27" s="135">
        <f t="shared" si="5"/>
        <v>22</v>
      </c>
      <c r="AR27" s="108" t="str">
        <f t="shared" si="6"/>
        <v>Aleksandar Đorđević</v>
      </c>
      <c r="AS27" s="38" t="str">
        <f t="shared" si="7"/>
        <v>Universal - Demontaža Mala L2</v>
      </c>
      <c r="AT27" s="76">
        <v>13</v>
      </c>
      <c r="AU27" s="22"/>
      <c r="AV27" s="20"/>
      <c r="AW27" s="22"/>
      <c r="AX27" s="36">
        <f t="shared" si="8"/>
        <v>4</v>
      </c>
      <c r="AY27" s="36"/>
      <c r="AZ27" s="36">
        <f t="shared" si="10"/>
        <v>0</v>
      </c>
      <c r="BA27" s="22"/>
      <c r="BB27" s="23"/>
    </row>
    <row r="28" spans="1:54" ht="15" thickBot="1" x14ac:dyDescent="0.35">
      <c r="A28" s="135">
        <v>23</v>
      </c>
      <c r="B28" s="126" t="s">
        <v>83</v>
      </c>
      <c r="C28" s="142" t="s">
        <v>84</v>
      </c>
      <c r="D28" s="142" t="s">
        <v>57</v>
      </c>
      <c r="E28" s="219">
        <v>20</v>
      </c>
      <c r="F28" s="151">
        <v>2</v>
      </c>
      <c r="G28" s="148">
        <v>20</v>
      </c>
      <c r="H28" s="267">
        <f t="shared" si="2"/>
        <v>-0.33400000000000007</v>
      </c>
      <c r="I28" s="191">
        <v>8</v>
      </c>
      <c r="J28" s="167">
        <v>8</v>
      </c>
      <c r="K28" s="167">
        <v>8</v>
      </c>
      <c r="L28" s="167">
        <v>8</v>
      </c>
      <c r="M28" s="200">
        <v>8</v>
      </c>
      <c r="N28" s="197"/>
      <c r="O28" s="163"/>
      <c r="P28" s="261">
        <v>8</v>
      </c>
      <c r="Q28" s="262">
        <v>8</v>
      </c>
      <c r="R28" s="262">
        <v>8</v>
      </c>
      <c r="S28" s="262">
        <v>8</v>
      </c>
      <c r="T28" s="262">
        <v>8</v>
      </c>
      <c r="U28" s="197"/>
      <c r="V28" s="163"/>
      <c r="W28" s="167">
        <v>8</v>
      </c>
      <c r="X28" s="200">
        <v>8</v>
      </c>
      <c r="Y28" s="200">
        <v>8</v>
      </c>
      <c r="Z28" s="200">
        <v>8</v>
      </c>
      <c r="AA28" s="200">
        <v>8</v>
      </c>
      <c r="AB28" s="197"/>
      <c r="AC28" s="241"/>
      <c r="AD28" s="255">
        <v>8</v>
      </c>
      <c r="AE28" s="255">
        <v>8</v>
      </c>
      <c r="AF28" s="255">
        <v>8</v>
      </c>
      <c r="AG28" s="255">
        <v>8</v>
      </c>
      <c r="AH28" s="255">
        <v>8</v>
      </c>
      <c r="AI28" s="246"/>
      <c r="AJ28" s="237"/>
      <c r="AK28" s="277">
        <v>8</v>
      </c>
      <c r="AL28" s="277">
        <v>8</v>
      </c>
      <c r="AM28" s="158">
        <f t="shared" si="3"/>
        <v>176</v>
      </c>
      <c r="AN28" s="128">
        <f t="shared" si="4"/>
        <v>176</v>
      </c>
      <c r="AO28" s="130">
        <f t="shared" si="0"/>
        <v>0</v>
      </c>
      <c r="AQ28" s="135">
        <f t="shared" si="5"/>
        <v>23</v>
      </c>
      <c r="AR28" s="108" t="str">
        <f t="shared" si="6"/>
        <v>Draško Stojadinović</v>
      </c>
      <c r="AS28" s="38" t="str">
        <f t="shared" si="7"/>
        <v>Universal - Demontaža Velika L2</v>
      </c>
      <c r="AT28" s="76">
        <v>13</v>
      </c>
      <c r="AU28" s="22"/>
      <c r="AV28" s="20"/>
      <c r="AW28" s="22"/>
      <c r="AX28" s="36">
        <f t="shared" si="8"/>
        <v>0</v>
      </c>
      <c r="AY28" s="36"/>
      <c r="AZ28" s="36">
        <f t="shared" si="10"/>
        <v>0</v>
      </c>
      <c r="BA28" s="22"/>
      <c r="BB28" s="23"/>
    </row>
    <row r="29" spans="1:54" ht="15" thickBot="1" x14ac:dyDescent="0.35">
      <c r="A29" s="135">
        <v>24</v>
      </c>
      <c r="B29" s="126" t="s">
        <v>85</v>
      </c>
      <c r="C29" s="142" t="s">
        <v>86</v>
      </c>
      <c r="D29" s="142" t="s">
        <v>87</v>
      </c>
      <c r="E29" s="220">
        <v>27</v>
      </c>
      <c r="F29" s="151">
        <v>3</v>
      </c>
      <c r="G29" s="148">
        <v>20</v>
      </c>
      <c r="H29" s="267">
        <f t="shared" si="2"/>
        <v>-8.3339999999999996</v>
      </c>
      <c r="I29" s="191">
        <v>8</v>
      </c>
      <c r="J29" s="167">
        <v>8</v>
      </c>
      <c r="K29" s="167">
        <v>8</v>
      </c>
      <c r="L29" s="167">
        <v>8</v>
      </c>
      <c r="M29" s="200">
        <v>8</v>
      </c>
      <c r="N29" s="197"/>
      <c r="O29" s="163"/>
      <c r="P29" s="167">
        <v>8</v>
      </c>
      <c r="Q29" s="200">
        <v>8</v>
      </c>
      <c r="R29" s="200">
        <v>8</v>
      </c>
      <c r="S29" s="200">
        <v>8</v>
      </c>
      <c r="T29" s="200">
        <v>8</v>
      </c>
      <c r="U29" s="197"/>
      <c r="V29" s="163"/>
      <c r="W29" s="167">
        <v>8</v>
      </c>
      <c r="X29" s="200">
        <v>8</v>
      </c>
      <c r="Y29" s="200">
        <v>8</v>
      </c>
      <c r="Z29" s="200">
        <v>8</v>
      </c>
      <c r="AA29" s="200">
        <v>8</v>
      </c>
      <c r="AB29" s="197">
        <v>8</v>
      </c>
      <c r="AC29" s="241"/>
      <c r="AD29" s="255">
        <v>8</v>
      </c>
      <c r="AE29" s="255">
        <v>8</v>
      </c>
      <c r="AF29" s="255">
        <v>8</v>
      </c>
      <c r="AG29" s="255">
        <v>8</v>
      </c>
      <c r="AH29" s="255">
        <v>8</v>
      </c>
      <c r="AI29" s="246"/>
      <c r="AJ29" s="237"/>
      <c r="AK29" s="274">
        <v>8</v>
      </c>
      <c r="AL29" s="274">
        <v>8</v>
      </c>
      <c r="AM29" s="159">
        <f t="shared" si="3"/>
        <v>176</v>
      </c>
      <c r="AN29" s="128">
        <f t="shared" si="4"/>
        <v>184</v>
      </c>
      <c r="AO29" s="130">
        <f t="shared" si="0"/>
        <v>8</v>
      </c>
      <c r="AQ29" s="135">
        <f t="shared" si="5"/>
        <v>24</v>
      </c>
      <c r="AR29" s="108" t="str">
        <f t="shared" si="6"/>
        <v>Mladen Simić</v>
      </c>
      <c r="AS29" s="38" t="str">
        <f t="shared" si="7"/>
        <v>Rodicut - Demontaža L3</v>
      </c>
      <c r="AT29" s="76">
        <v>23</v>
      </c>
      <c r="AU29" s="22"/>
      <c r="AV29" s="22"/>
      <c r="AW29" s="22"/>
      <c r="AX29" s="36">
        <f t="shared" si="8"/>
        <v>0</v>
      </c>
      <c r="AY29" s="36"/>
      <c r="AZ29" s="36">
        <f t="shared" si="10"/>
        <v>0</v>
      </c>
      <c r="BA29" s="22"/>
      <c r="BB29" s="23"/>
    </row>
    <row r="30" spans="1:54" ht="15" thickBot="1" x14ac:dyDescent="0.35">
      <c r="A30" s="135">
        <v>25</v>
      </c>
      <c r="B30" s="126" t="s">
        <v>88</v>
      </c>
      <c r="C30" s="142" t="s">
        <v>89</v>
      </c>
      <c r="D30" s="142" t="s">
        <v>90</v>
      </c>
      <c r="E30" s="219">
        <v>20</v>
      </c>
      <c r="F30" s="151">
        <v>0</v>
      </c>
      <c r="G30" s="148">
        <v>20</v>
      </c>
      <c r="H30" s="267">
        <f t="shared" si="2"/>
        <v>1.6659999999999999</v>
      </c>
      <c r="I30" s="191">
        <v>8</v>
      </c>
      <c r="J30" s="167">
        <v>8</v>
      </c>
      <c r="K30" s="167">
        <v>8</v>
      </c>
      <c r="L30" s="167">
        <v>8</v>
      </c>
      <c r="M30" s="200">
        <v>8</v>
      </c>
      <c r="N30" s="197"/>
      <c r="O30" s="163"/>
      <c r="P30" s="167">
        <v>8</v>
      </c>
      <c r="Q30" s="200">
        <v>8</v>
      </c>
      <c r="R30" s="200">
        <v>8</v>
      </c>
      <c r="S30" s="200">
        <v>8</v>
      </c>
      <c r="T30" s="200">
        <v>8</v>
      </c>
      <c r="U30" s="197"/>
      <c r="V30" s="163"/>
      <c r="W30" s="261">
        <v>8</v>
      </c>
      <c r="X30" s="261">
        <v>8</v>
      </c>
      <c r="Y30" s="261">
        <v>8</v>
      </c>
      <c r="Z30" s="261">
        <v>8</v>
      </c>
      <c r="AA30" s="261">
        <v>8</v>
      </c>
      <c r="AB30" s="197"/>
      <c r="AC30" s="241"/>
      <c r="AD30" s="255">
        <v>8</v>
      </c>
      <c r="AE30" s="255">
        <v>8</v>
      </c>
      <c r="AF30" s="255">
        <v>8</v>
      </c>
      <c r="AG30" s="255">
        <v>8</v>
      </c>
      <c r="AH30" s="255">
        <v>8</v>
      </c>
      <c r="AI30" s="246"/>
      <c r="AJ30" s="237"/>
      <c r="AK30" s="274">
        <v>8</v>
      </c>
      <c r="AL30" s="274">
        <v>8</v>
      </c>
      <c r="AM30" s="159">
        <f t="shared" si="3"/>
        <v>176</v>
      </c>
      <c r="AN30" s="128">
        <f t="shared" si="4"/>
        <v>176</v>
      </c>
      <c r="AO30" s="130">
        <f t="shared" si="0"/>
        <v>0</v>
      </c>
      <c r="AQ30" s="135">
        <f t="shared" si="5"/>
        <v>25</v>
      </c>
      <c r="AR30" s="108" t="str">
        <f t="shared" si="6"/>
        <v>Ivan Aćimović</v>
      </c>
      <c r="AS30" s="38" t="str">
        <f t="shared" si="7"/>
        <v>Strug 1</v>
      </c>
      <c r="AT30" s="76">
        <v>15</v>
      </c>
      <c r="AU30" s="22"/>
      <c r="AV30" s="20"/>
      <c r="AW30" s="22"/>
      <c r="AX30" s="36">
        <f t="shared" si="8"/>
        <v>0</v>
      </c>
      <c r="AY30" s="36"/>
      <c r="AZ30" s="36">
        <f t="shared" si="10"/>
        <v>0</v>
      </c>
      <c r="BA30" s="22"/>
      <c r="BB30" s="23"/>
    </row>
    <row r="31" spans="1:54" ht="15" thickBot="1" x14ac:dyDescent="0.35">
      <c r="A31" s="135">
        <v>26</v>
      </c>
      <c r="B31" s="126" t="s">
        <v>91</v>
      </c>
      <c r="C31" s="142" t="s">
        <v>86</v>
      </c>
      <c r="D31" s="142" t="s">
        <v>87</v>
      </c>
      <c r="E31" s="220">
        <v>12</v>
      </c>
      <c r="F31" s="151">
        <v>4</v>
      </c>
      <c r="G31" s="148">
        <v>10</v>
      </c>
      <c r="H31" s="267">
        <f t="shared" si="2"/>
        <v>-4.3339999999999996</v>
      </c>
      <c r="I31" s="191">
        <v>8</v>
      </c>
      <c r="J31" s="167">
        <v>8</v>
      </c>
      <c r="K31" s="167">
        <v>8</v>
      </c>
      <c r="L31" s="167">
        <v>8</v>
      </c>
      <c r="M31" s="200">
        <v>8</v>
      </c>
      <c r="N31" s="197"/>
      <c r="O31" s="163"/>
      <c r="P31" s="167">
        <v>8</v>
      </c>
      <c r="Q31" s="200">
        <v>8</v>
      </c>
      <c r="R31" s="200">
        <v>8</v>
      </c>
      <c r="S31" s="200">
        <v>8</v>
      </c>
      <c r="T31" s="200">
        <v>8</v>
      </c>
      <c r="U31" s="197"/>
      <c r="V31" s="163"/>
      <c r="W31" s="167">
        <v>8</v>
      </c>
      <c r="X31" s="200">
        <v>8</v>
      </c>
      <c r="Y31" s="200">
        <v>8</v>
      </c>
      <c r="Z31" s="200">
        <v>8</v>
      </c>
      <c r="AA31" s="200">
        <v>8</v>
      </c>
      <c r="AB31" s="197">
        <v>8</v>
      </c>
      <c r="AC31" s="241"/>
      <c r="AD31" s="255">
        <v>8</v>
      </c>
      <c r="AE31" s="255">
        <v>8</v>
      </c>
      <c r="AF31" s="255">
        <v>8</v>
      </c>
      <c r="AG31" s="255">
        <v>8</v>
      </c>
      <c r="AH31" s="255">
        <v>8</v>
      </c>
      <c r="AI31" s="246">
        <v>8</v>
      </c>
      <c r="AJ31" s="237"/>
      <c r="AK31" s="274">
        <v>8</v>
      </c>
      <c r="AL31" s="274">
        <v>8</v>
      </c>
      <c r="AM31" s="159">
        <f t="shared" si="3"/>
        <v>176</v>
      </c>
      <c r="AN31" s="128">
        <f t="shared" si="4"/>
        <v>192</v>
      </c>
      <c r="AO31" s="130">
        <f t="shared" si="0"/>
        <v>16</v>
      </c>
      <c r="AQ31" s="135">
        <f t="shared" si="5"/>
        <v>26</v>
      </c>
      <c r="AR31" s="108" t="str">
        <f t="shared" si="6"/>
        <v>David Zivic</v>
      </c>
      <c r="AS31" s="38" t="str">
        <f t="shared" si="7"/>
        <v>Rodicut - Demontaža L3</v>
      </c>
      <c r="AT31" s="76">
        <v>23</v>
      </c>
      <c r="AU31" s="22"/>
      <c r="AV31" s="20"/>
      <c r="AW31" s="22"/>
      <c r="AX31" s="36">
        <f t="shared" si="8"/>
        <v>0</v>
      </c>
      <c r="AY31" s="36"/>
      <c r="AZ31" s="36">
        <f t="shared" si="10"/>
        <v>0</v>
      </c>
      <c r="BA31" s="22"/>
      <c r="BB31" s="23"/>
    </row>
    <row r="32" spans="1:54" ht="15" thickBot="1" x14ac:dyDescent="0.35">
      <c r="A32" s="135">
        <v>27</v>
      </c>
      <c r="B32" s="126" t="s">
        <v>92</v>
      </c>
      <c r="C32" s="142" t="s">
        <v>86</v>
      </c>
      <c r="D32" s="142" t="s">
        <v>87</v>
      </c>
      <c r="E32" s="148">
        <v>18</v>
      </c>
      <c r="F32" s="151">
        <v>0</v>
      </c>
      <c r="G32" s="148">
        <v>20</v>
      </c>
      <c r="H32" s="267">
        <f t="shared" si="2"/>
        <v>3.6659999999999999</v>
      </c>
      <c r="I32" s="191">
        <v>8</v>
      </c>
      <c r="J32" s="167">
        <v>8</v>
      </c>
      <c r="K32" s="167">
        <v>8</v>
      </c>
      <c r="L32" s="167">
        <v>8</v>
      </c>
      <c r="M32" s="200">
        <v>8</v>
      </c>
      <c r="N32" s="197"/>
      <c r="O32" s="163"/>
      <c r="P32" s="167">
        <v>8</v>
      </c>
      <c r="Q32" s="200">
        <v>8</v>
      </c>
      <c r="R32" s="200">
        <v>8</v>
      </c>
      <c r="S32" s="200">
        <v>8</v>
      </c>
      <c r="T32" s="200">
        <v>8</v>
      </c>
      <c r="U32" s="197">
        <v>8</v>
      </c>
      <c r="V32" s="163"/>
      <c r="W32" s="167">
        <v>8</v>
      </c>
      <c r="X32" s="200">
        <v>8</v>
      </c>
      <c r="Y32" s="200">
        <v>8</v>
      </c>
      <c r="Z32" s="200">
        <v>8</v>
      </c>
      <c r="AA32" s="200">
        <v>8</v>
      </c>
      <c r="AB32" s="197"/>
      <c r="AC32" s="241"/>
      <c r="AD32" s="255">
        <v>8</v>
      </c>
      <c r="AE32" s="255">
        <v>8</v>
      </c>
      <c r="AF32" s="255">
        <v>8</v>
      </c>
      <c r="AG32" s="255">
        <v>8</v>
      </c>
      <c r="AH32" s="255">
        <v>8</v>
      </c>
      <c r="AI32" s="246"/>
      <c r="AJ32" s="237"/>
      <c r="AK32" s="274">
        <v>8</v>
      </c>
      <c r="AL32" s="274">
        <v>8</v>
      </c>
      <c r="AM32" s="159">
        <f t="shared" si="3"/>
        <v>176</v>
      </c>
      <c r="AN32" s="128">
        <f t="shared" si="4"/>
        <v>184</v>
      </c>
      <c r="AO32" s="130">
        <f t="shared" si="0"/>
        <v>8</v>
      </c>
      <c r="AQ32" s="135">
        <f t="shared" si="5"/>
        <v>27</v>
      </c>
      <c r="AR32" s="108" t="str">
        <f t="shared" si="6"/>
        <v>Dejan Jović</v>
      </c>
      <c r="AS32" s="38" t="str">
        <f t="shared" si="7"/>
        <v>Rodicut - Demontaža L3</v>
      </c>
      <c r="AT32" s="76">
        <v>14</v>
      </c>
      <c r="AU32" s="20"/>
      <c r="AV32" s="20"/>
      <c r="AW32" s="22"/>
      <c r="AX32" s="36">
        <f t="shared" si="8"/>
        <v>0</v>
      </c>
      <c r="AY32" s="36"/>
      <c r="AZ32" s="36">
        <v>4</v>
      </c>
      <c r="BA32" s="22" t="s">
        <v>33</v>
      </c>
      <c r="BB32" s="23"/>
    </row>
    <row r="33" spans="1:54" ht="15" thickBot="1" x14ac:dyDescent="0.35">
      <c r="A33" s="135">
        <v>28</v>
      </c>
      <c r="B33" s="126" t="s">
        <v>93</v>
      </c>
      <c r="C33" s="142" t="s">
        <v>94</v>
      </c>
      <c r="D33" s="142" t="s">
        <v>62</v>
      </c>
      <c r="E33" s="219">
        <v>20</v>
      </c>
      <c r="F33" s="151">
        <v>1</v>
      </c>
      <c r="G33" s="148">
        <v>20</v>
      </c>
      <c r="H33" s="267">
        <f t="shared" si="2"/>
        <v>0.66599999999999993</v>
      </c>
      <c r="I33" s="260">
        <v>8</v>
      </c>
      <c r="J33" s="261">
        <v>8</v>
      </c>
      <c r="K33" s="261">
        <v>8</v>
      </c>
      <c r="L33" s="261">
        <v>8</v>
      </c>
      <c r="M33" s="262">
        <v>8</v>
      </c>
      <c r="N33" s="197"/>
      <c r="O33" s="163"/>
      <c r="P33" s="167">
        <v>8</v>
      </c>
      <c r="Q33" s="200">
        <v>8</v>
      </c>
      <c r="R33" s="200">
        <v>8</v>
      </c>
      <c r="S33" s="200">
        <v>8</v>
      </c>
      <c r="T33" s="200">
        <v>8</v>
      </c>
      <c r="U33" s="197"/>
      <c r="V33" s="163"/>
      <c r="W33" s="167">
        <v>8</v>
      </c>
      <c r="X33" s="200">
        <v>8</v>
      </c>
      <c r="Y33" s="200">
        <v>8</v>
      </c>
      <c r="Z33" s="200">
        <v>8</v>
      </c>
      <c r="AA33" s="200">
        <v>8</v>
      </c>
      <c r="AB33" s="197"/>
      <c r="AC33" s="241"/>
      <c r="AD33" s="255">
        <v>8</v>
      </c>
      <c r="AE33" s="255">
        <v>8</v>
      </c>
      <c r="AF33" s="255">
        <v>8</v>
      </c>
      <c r="AG33" s="255">
        <v>8</v>
      </c>
      <c r="AH33" s="255">
        <v>8</v>
      </c>
      <c r="AI33" s="246"/>
      <c r="AJ33" s="237"/>
      <c r="AK33" s="274">
        <v>8</v>
      </c>
      <c r="AL33" s="274">
        <v>8</v>
      </c>
      <c r="AM33" s="160">
        <f t="shared" si="3"/>
        <v>176</v>
      </c>
      <c r="AN33" s="128">
        <f t="shared" si="4"/>
        <v>176</v>
      </c>
      <c r="AO33" s="130">
        <f t="shared" si="0"/>
        <v>0</v>
      </c>
      <c r="AQ33" s="135">
        <f t="shared" si="5"/>
        <v>28</v>
      </c>
      <c r="AR33" s="108" t="str">
        <f t="shared" si="6"/>
        <v>Aleksandar Milošević</v>
      </c>
      <c r="AS33" s="38" t="str">
        <f t="shared" si="7"/>
        <v>Livenje L4</v>
      </c>
      <c r="AT33" s="76">
        <v>8</v>
      </c>
      <c r="AU33" s="20"/>
      <c r="AV33" s="20"/>
      <c r="AW33" s="22"/>
      <c r="AX33" s="36">
        <f t="shared" si="8"/>
        <v>0</v>
      </c>
      <c r="AY33" s="36" t="s">
        <v>95</v>
      </c>
      <c r="AZ33" s="36">
        <f>(COUNTIF(J33:AI33,"go")*8+COUNTIF(J33:AI33,"sd")*8)/8</f>
        <v>0</v>
      </c>
      <c r="BA33" s="22" t="s">
        <v>96</v>
      </c>
      <c r="BB33" s="23"/>
    </row>
    <row r="34" spans="1:54" ht="15" thickBot="1" x14ac:dyDescent="0.35">
      <c r="A34" s="135">
        <v>29</v>
      </c>
      <c r="B34" s="126" t="s">
        <v>97</v>
      </c>
      <c r="C34" s="142" t="s">
        <v>98</v>
      </c>
      <c r="D34" s="142" t="s">
        <v>99</v>
      </c>
      <c r="E34" s="219">
        <v>20</v>
      </c>
      <c r="F34" s="151">
        <v>1</v>
      </c>
      <c r="G34" s="148">
        <v>20</v>
      </c>
      <c r="H34" s="267">
        <f t="shared" si="2"/>
        <v>0.66599999999999993</v>
      </c>
      <c r="I34" s="191">
        <v>8</v>
      </c>
      <c r="J34" s="167">
        <v>8</v>
      </c>
      <c r="K34" s="167">
        <v>8</v>
      </c>
      <c r="L34" s="167">
        <v>8</v>
      </c>
      <c r="M34" s="200">
        <v>8</v>
      </c>
      <c r="N34" s="197"/>
      <c r="O34" s="163"/>
      <c r="P34" s="167">
        <v>8</v>
      </c>
      <c r="Q34" s="200">
        <v>8</v>
      </c>
      <c r="R34" s="200">
        <v>8</v>
      </c>
      <c r="S34" s="200">
        <v>8</v>
      </c>
      <c r="T34" s="200">
        <v>8</v>
      </c>
      <c r="U34" s="197"/>
      <c r="V34" s="163"/>
      <c r="W34" s="167">
        <v>8</v>
      </c>
      <c r="X34" s="200">
        <v>8</v>
      </c>
      <c r="Y34" s="200">
        <v>8</v>
      </c>
      <c r="Z34" s="200">
        <v>8</v>
      </c>
      <c r="AA34" s="200">
        <v>8</v>
      </c>
      <c r="AB34" s="197"/>
      <c r="AC34" s="241"/>
      <c r="AD34" s="255">
        <v>8</v>
      </c>
      <c r="AE34" s="255">
        <v>8</v>
      </c>
      <c r="AF34" s="255">
        <v>8</v>
      </c>
      <c r="AG34" s="255">
        <v>8</v>
      </c>
      <c r="AH34" s="255">
        <v>8</v>
      </c>
      <c r="AI34" s="246">
        <v>8</v>
      </c>
      <c r="AJ34" s="237"/>
      <c r="AK34" s="274">
        <v>8</v>
      </c>
      <c r="AL34" s="274">
        <v>8</v>
      </c>
      <c r="AM34" s="160">
        <f t="shared" si="3"/>
        <v>176</v>
      </c>
      <c r="AN34" s="128">
        <f t="shared" si="4"/>
        <v>184</v>
      </c>
      <c r="AO34" s="130">
        <f t="shared" si="0"/>
        <v>8</v>
      </c>
      <c r="AQ34" s="135">
        <f t="shared" si="5"/>
        <v>29</v>
      </c>
      <c r="AR34" s="108" t="str">
        <f t="shared" si="6"/>
        <v>Darko Golubović</v>
      </c>
      <c r="AS34" s="38" t="str">
        <f t="shared" si="7"/>
        <v>Demontaža L4</v>
      </c>
      <c r="AT34" s="76">
        <v>23</v>
      </c>
      <c r="AU34" s="20"/>
      <c r="AV34" s="20"/>
      <c r="AW34" s="22"/>
      <c r="AX34" s="36">
        <f t="shared" si="8"/>
        <v>0</v>
      </c>
      <c r="AY34" s="36"/>
      <c r="AZ34" s="36">
        <f>(COUNTIF(J34:AI34,"go")*8+COUNTIF(J34:AI34,"sd")*8)/8</f>
        <v>0</v>
      </c>
      <c r="BA34" s="22"/>
      <c r="BB34" s="23"/>
    </row>
    <row r="35" spans="1:54" ht="15" thickBot="1" x14ac:dyDescent="0.35">
      <c r="A35" s="135">
        <v>30</v>
      </c>
      <c r="B35" s="126" t="s">
        <v>100</v>
      </c>
      <c r="C35" s="142" t="s">
        <v>101</v>
      </c>
      <c r="D35" s="142" t="s">
        <v>90</v>
      </c>
      <c r="E35" s="220">
        <v>21</v>
      </c>
      <c r="F35" s="151">
        <v>4</v>
      </c>
      <c r="G35" s="148">
        <v>20</v>
      </c>
      <c r="H35" s="267">
        <f t="shared" si="2"/>
        <v>-3.3340000000000001</v>
      </c>
      <c r="I35" s="191">
        <v>8</v>
      </c>
      <c r="J35" s="167">
        <v>8</v>
      </c>
      <c r="K35" s="167">
        <v>8</v>
      </c>
      <c r="L35" s="167">
        <v>8</v>
      </c>
      <c r="M35" s="200">
        <v>8</v>
      </c>
      <c r="N35" s="197"/>
      <c r="O35" s="163"/>
      <c r="P35" s="167">
        <v>8</v>
      </c>
      <c r="Q35" s="200">
        <v>8</v>
      </c>
      <c r="R35" s="200">
        <v>8</v>
      </c>
      <c r="S35" s="200">
        <v>8</v>
      </c>
      <c r="T35" s="200">
        <v>8</v>
      </c>
      <c r="U35" s="197"/>
      <c r="V35" s="163"/>
      <c r="W35" s="261">
        <v>8</v>
      </c>
      <c r="X35" s="261">
        <v>8</v>
      </c>
      <c r="Y35" s="261">
        <v>8</v>
      </c>
      <c r="Z35" s="261">
        <v>8</v>
      </c>
      <c r="AA35" s="261">
        <v>8</v>
      </c>
      <c r="AB35" s="197"/>
      <c r="AC35" s="241"/>
      <c r="AD35" s="255">
        <v>8</v>
      </c>
      <c r="AE35" s="255">
        <v>8</v>
      </c>
      <c r="AF35" s="255">
        <v>8</v>
      </c>
      <c r="AG35" s="255">
        <v>8</v>
      </c>
      <c r="AH35" s="255">
        <v>8</v>
      </c>
      <c r="AI35" s="246"/>
      <c r="AJ35" s="237"/>
      <c r="AK35" s="274">
        <v>8</v>
      </c>
      <c r="AL35" s="274">
        <v>8</v>
      </c>
      <c r="AM35" s="160">
        <f t="shared" si="3"/>
        <v>176</v>
      </c>
      <c r="AN35" s="128">
        <f t="shared" si="4"/>
        <v>176</v>
      </c>
      <c r="AO35" s="130">
        <f t="shared" si="0"/>
        <v>0</v>
      </c>
      <c r="AQ35" s="135">
        <f t="shared" si="5"/>
        <v>30</v>
      </c>
      <c r="AR35" s="108" t="str">
        <f t="shared" si="6"/>
        <v>Darko Životić</v>
      </c>
      <c r="AS35" s="38" t="str">
        <f t="shared" si="7"/>
        <v>Aurora L4 - strug</v>
      </c>
      <c r="AT35" s="76">
        <v>14</v>
      </c>
      <c r="AU35" s="20"/>
      <c r="AV35" s="20"/>
      <c r="AW35" s="22"/>
      <c r="AX35" s="36">
        <f t="shared" si="8"/>
        <v>0</v>
      </c>
      <c r="AY35" s="36"/>
      <c r="AZ35" s="36">
        <f>(COUNTIF(J35:AI35,"go")*8+COUNTIF(J35:AI35,"sd")*8)/8</f>
        <v>0</v>
      </c>
      <c r="BA35" s="22" t="s">
        <v>53</v>
      </c>
      <c r="BB35" s="23"/>
    </row>
    <row r="36" spans="1:54" ht="15" thickBot="1" x14ac:dyDescent="0.35">
      <c r="A36" s="135">
        <v>31</v>
      </c>
      <c r="B36" s="126" t="s">
        <v>102</v>
      </c>
      <c r="C36" s="142" t="s">
        <v>103</v>
      </c>
      <c r="D36" s="142" t="s">
        <v>104</v>
      </c>
      <c r="E36" s="219">
        <v>20</v>
      </c>
      <c r="F36" s="151">
        <v>1</v>
      </c>
      <c r="G36" s="148">
        <v>20</v>
      </c>
      <c r="H36" s="267">
        <f t="shared" si="2"/>
        <v>0.66599999999999993</v>
      </c>
      <c r="I36" s="191">
        <v>8</v>
      </c>
      <c r="J36" s="167">
        <v>8</v>
      </c>
      <c r="K36" s="167">
        <v>8</v>
      </c>
      <c r="L36" s="167">
        <v>8</v>
      </c>
      <c r="M36" s="200">
        <v>8</v>
      </c>
      <c r="N36" s="197"/>
      <c r="O36" s="163"/>
      <c r="P36" s="167">
        <v>8</v>
      </c>
      <c r="Q36" s="200">
        <v>8</v>
      </c>
      <c r="R36" s="200">
        <v>8</v>
      </c>
      <c r="S36" s="200">
        <v>8</v>
      </c>
      <c r="T36" s="200">
        <v>8</v>
      </c>
      <c r="U36" s="197">
        <v>2</v>
      </c>
      <c r="V36" s="163"/>
      <c r="W36" s="167">
        <v>8</v>
      </c>
      <c r="X36" s="200">
        <v>8</v>
      </c>
      <c r="Y36" s="200">
        <v>8</v>
      </c>
      <c r="Z36" s="200">
        <v>8</v>
      </c>
      <c r="AA36" s="200">
        <v>8</v>
      </c>
      <c r="AB36" s="197">
        <v>8</v>
      </c>
      <c r="AC36" s="241"/>
      <c r="AD36" s="255">
        <v>8</v>
      </c>
      <c r="AE36" s="255">
        <v>8</v>
      </c>
      <c r="AF36" s="255">
        <v>8</v>
      </c>
      <c r="AG36" s="255">
        <v>8</v>
      </c>
      <c r="AH36" s="255">
        <v>8</v>
      </c>
      <c r="AI36" s="246">
        <v>8</v>
      </c>
      <c r="AJ36" s="237"/>
      <c r="AK36" s="274">
        <v>8</v>
      </c>
      <c r="AL36" s="274">
        <v>8</v>
      </c>
      <c r="AM36" s="160">
        <f t="shared" si="3"/>
        <v>176</v>
      </c>
      <c r="AN36" s="128">
        <f t="shared" si="4"/>
        <v>194</v>
      </c>
      <c r="AO36" s="130">
        <f t="shared" si="0"/>
        <v>18</v>
      </c>
      <c r="AQ36" s="135">
        <f t="shared" si="5"/>
        <v>31</v>
      </c>
      <c r="AR36" s="108" t="str">
        <f t="shared" si="6"/>
        <v>Dragana Gvozdić</v>
      </c>
      <c r="AS36" s="38" t="str">
        <f t="shared" si="7"/>
        <v>Aurora L4</v>
      </c>
      <c r="AT36" s="76">
        <v>19</v>
      </c>
      <c r="AU36" s="20"/>
      <c r="AV36" s="20"/>
      <c r="AW36" s="22"/>
      <c r="AX36" s="36">
        <f t="shared" si="8"/>
        <v>0</v>
      </c>
      <c r="AY36" s="36" t="s">
        <v>105</v>
      </c>
      <c r="AZ36" s="36">
        <f>(COUNTIF(J36:AI36,"go")*8+COUNTIF(J36:AI36,"sd")*8)/8</f>
        <v>0</v>
      </c>
      <c r="BA36" s="22" t="s">
        <v>106</v>
      </c>
      <c r="BB36" s="23"/>
    </row>
    <row r="37" spans="1:54" ht="15" thickBot="1" x14ac:dyDescent="0.35">
      <c r="A37" s="135">
        <v>32</v>
      </c>
      <c r="B37" s="126" t="s">
        <v>107</v>
      </c>
      <c r="C37" s="142" t="s">
        <v>108</v>
      </c>
      <c r="D37" s="142" t="s">
        <v>90</v>
      </c>
      <c r="E37" s="148">
        <v>13</v>
      </c>
      <c r="F37" s="151">
        <v>0</v>
      </c>
      <c r="G37" s="148">
        <v>20</v>
      </c>
      <c r="H37" s="267">
        <f t="shared" si="2"/>
        <v>8.6660000000000004</v>
      </c>
      <c r="I37" s="260">
        <v>8</v>
      </c>
      <c r="J37" s="261">
        <v>8</v>
      </c>
      <c r="K37" s="261">
        <v>8</v>
      </c>
      <c r="L37" s="261">
        <v>8</v>
      </c>
      <c r="M37" s="262">
        <v>8</v>
      </c>
      <c r="N37" s="197"/>
      <c r="O37" s="163"/>
      <c r="P37" s="167">
        <v>8</v>
      </c>
      <c r="Q37" s="200">
        <v>8</v>
      </c>
      <c r="R37" s="200">
        <v>8</v>
      </c>
      <c r="S37" s="200">
        <v>8</v>
      </c>
      <c r="T37" s="200">
        <v>8</v>
      </c>
      <c r="U37" s="197"/>
      <c r="V37" s="163"/>
      <c r="W37" s="167">
        <v>8</v>
      </c>
      <c r="X37" s="200">
        <v>8</v>
      </c>
      <c r="Y37" s="200">
        <v>8</v>
      </c>
      <c r="Z37" s="200">
        <v>8</v>
      </c>
      <c r="AA37" s="200">
        <v>8</v>
      </c>
      <c r="AB37" s="197">
        <v>8</v>
      </c>
      <c r="AC37" s="241"/>
      <c r="AD37" s="270">
        <v>8</v>
      </c>
      <c r="AE37" s="262">
        <v>8</v>
      </c>
      <c r="AF37" s="262">
        <v>8</v>
      </c>
      <c r="AG37" s="262">
        <v>8</v>
      </c>
      <c r="AH37" s="271">
        <v>8</v>
      </c>
      <c r="AI37" s="246"/>
      <c r="AJ37" s="237"/>
      <c r="AK37" s="274">
        <v>8</v>
      </c>
      <c r="AL37" s="274">
        <v>8</v>
      </c>
      <c r="AM37" s="158">
        <f t="shared" si="3"/>
        <v>176</v>
      </c>
      <c r="AN37" s="128">
        <f t="shared" si="4"/>
        <v>184</v>
      </c>
      <c r="AO37" s="130">
        <f t="shared" si="0"/>
        <v>8</v>
      </c>
      <c r="AQ37" s="135">
        <f t="shared" si="5"/>
        <v>32</v>
      </c>
      <c r="AR37" s="108" t="str">
        <f t="shared" si="6"/>
        <v>Dragan Ivić</v>
      </c>
      <c r="AS37" s="38" t="str">
        <f t="shared" si="7"/>
        <v>Strug 2</v>
      </c>
      <c r="AT37" s="76">
        <v>16</v>
      </c>
      <c r="AU37" s="20"/>
      <c r="AV37" s="20"/>
      <c r="AW37" s="22"/>
      <c r="AX37" s="36">
        <f t="shared" si="8"/>
        <v>0</v>
      </c>
      <c r="AY37" s="39"/>
      <c r="AZ37" s="36">
        <v>0</v>
      </c>
      <c r="BA37" s="22"/>
      <c r="BB37" s="23"/>
    </row>
    <row r="38" spans="1:54" ht="15" thickBot="1" x14ac:dyDescent="0.35">
      <c r="A38" s="135">
        <v>34</v>
      </c>
      <c r="B38" s="126" t="s">
        <v>112</v>
      </c>
      <c r="C38" s="142" t="s">
        <v>113</v>
      </c>
      <c r="D38" s="142" t="s">
        <v>72</v>
      </c>
      <c r="E38" s="220">
        <v>12</v>
      </c>
      <c r="F38" s="151">
        <v>5</v>
      </c>
      <c r="G38" s="148">
        <v>10</v>
      </c>
      <c r="H38" s="267">
        <f t="shared" si="2"/>
        <v>-5.3339999999999996</v>
      </c>
      <c r="I38" s="191">
        <v>8</v>
      </c>
      <c r="J38" s="167">
        <v>8</v>
      </c>
      <c r="K38" s="167">
        <v>8</v>
      </c>
      <c r="L38" s="167" t="s">
        <v>63</v>
      </c>
      <c r="M38" s="200" t="s">
        <v>63</v>
      </c>
      <c r="N38" s="197"/>
      <c r="O38" s="163"/>
      <c r="P38" s="167" t="s">
        <v>63</v>
      </c>
      <c r="Q38" s="200" t="s">
        <v>63</v>
      </c>
      <c r="R38" s="200" t="s">
        <v>63</v>
      </c>
      <c r="S38" s="200" t="s">
        <v>63</v>
      </c>
      <c r="T38" s="200" t="s">
        <v>63</v>
      </c>
      <c r="U38" s="197"/>
      <c r="V38" s="163"/>
      <c r="W38" s="167" t="s">
        <v>63</v>
      </c>
      <c r="X38" s="200" t="s">
        <v>63</v>
      </c>
      <c r="Y38" s="200" t="s">
        <v>63</v>
      </c>
      <c r="Z38" s="200" t="s">
        <v>63</v>
      </c>
      <c r="AA38" s="200" t="s">
        <v>63</v>
      </c>
      <c r="AB38" s="197"/>
      <c r="AC38" s="241"/>
      <c r="AD38" s="255" t="s">
        <v>63</v>
      </c>
      <c r="AE38" s="200" t="s">
        <v>63</v>
      </c>
      <c r="AF38" s="200" t="s">
        <v>63</v>
      </c>
      <c r="AG38" s="200" t="s">
        <v>63</v>
      </c>
      <c r="AH38" s="256" t="s">
        <v>63</v>
      </c>
      <c r="AI38" s="246"/>
      <c r="AJ38" s="237"/>
      <c r="AK38" s="274" t="s">
        <v>63</v>
      </c>
      <c r="AL38" s="274" t="s">
        <v>63</v>
      </c>
      <c r="AM38" s="158">
        <f t="shared" si="3"/>
        <v>176</v>
      </c>
      <c r="AN38" s="128">
        <f t="shared" si="4"/>
        <v>24</v>
      </c>
      <c r="AO38" s="130">
        <f t="shared" si="0"/>
        <v>-152</v>
      </c>
      <c r="AQ38" s="135">
        <f t="shared" si="5"/>
        <v>34</v>
      </c>
      <c r="AR38" s="108" t="str">
        <f t="shared" si="6"/>
        <v>Vlajković Stefan</v>
      </c>
      <c r="AS38" s="38" t="str">
        <f t="shared" si="7"/>
        <v>Rodicut - Livenje</v>
      </c>
      <c r="AT38" s="76">
        <v>21</v>
      </c>
      <c r="AU38" s="20"/>
      <c r="AV38" s="20"/>
      <c r="AW38" s="22"/>
      <c r="AX38" s="36">
        <v>0</v>
      </c>
      <c r="AY38" s="36"/>
      <c r="AZ38" s="36">
        <v>2</v>
      </c>
      <c r="BA38" s="22" t="s">
        <v>115</v>
      </c>
      <c r="BB38" s="23"/>
    </row>
    <row r="39" spans="1:54" ht="15" thickBot="1" x14ac:dyDescent="0.35">
      <c r="A39" s="135">
        <v>35</v>
      </c>
      <c r="B39" s="126" t="s">
        <v>116</v>
      </c>
      <c r="C39" s="142" t="s">
        <v>117</v>
      </c>
      <c r="D39" s="142" t="s">
        <v>118</v>
      </c>
      <c r="E39" s="148">
        <v>19</v>
      </c>
      <c r="F39" s="151">
        <v>0</v>
      </c>
      <c r="G39" s="148">
        <v>20</v>
      </c>
      <c r="H39" s="267">
        <f t="shared" si="2"/>
        <v>2.6659999999999999</v>
      </c>
      <c r="I39" s="191">
        <v>8</v>
      </c>
      <c r="J39" s="167">
        <v>8</v>
      </c>
      <c r="K39" s="167">
        <v>8</v>
      </c>
      <c r="L39" s="167">
        <v>8</v>
      </c>
      <c r="M39" s="200">
        <v>8</v>
      </c>
      <c r="N39" s="197"/>
      <c r="O39" s="163"/>
      <c r="P39" s="167">
        <v>8</v>
      </c>
      <c r="Q39" s="200">
        <v>8</v>
      </c>
      <c r="R39" s="200">
        <v>8</v>
      </c>
      <c r="S39" s="200">
        <v>8</v>
      </c>
      <c r="T39" s="200">
        <v>8</v>
      </c>
      <c r="U39" s="197"/>
      <c r="V39" s="163"/>
      <c r="W39" s="167">
        <v>8</v>
      </c>
      <c r="X39" s="200">
        <v>8</v>
      </c>
      <c r="Y39" s="200">
        <v>8</v>
      </c>
      <c r="Z39" s="200">
        <v>8</v>
      </c>
      <c r="AA39" s="200">
        <v>8</v>
      </c>
      <c r="AB39" s="197"/>
      <c r="AC39" s="241"/>
      <c r="AD39" s="255">
        <v>8</v>
      </c>
      <c r="AE39" s="200">
        <v>8</v>
      </c>
      <c r="AF39" s="200">
        <v>8</v>
      </c>
      <c r="AG39" s="200">
        <v>8</v>
      </c>
      <c r="AH39" s="256">
        <v>8</v>
      </c>
      <c r="AI39" s="246"/>
      <c r="AJ39" s="237"/>
      <c r="AK39" s="274">
        <v>8</v>
      </c>
      <c r="AL39" s="274">
        <v>8</v>
      </c>
      <c r="AM39" s="158">
        <f t="shared" si="3"/>
        <v>176</v>
      </c>
      <c r="AN39" s="128">
        <f t="shared" si="4"/>
        <v>176</v>
      </c>
      <c r="AO39" s="130">
        <f t="shared" si="0"/>
        <v>0</v>
      </c>
      <c r="AQ39" s="135">
        <f t="shared" si="5"/>
        <v>35</v>
      </c>
      <c r="AR39" s="108" t="str">
        <f t="shared" si="6"/>
        <v>Stefan Mitrović</v>
      </c>
      <c r="AS39" s="38" t="str">
        <f t="shared" si="7"/>
        <v>Matiranje</v>
      </c>
      <c r="AT39" s="76">
        <v>16</v>
      </c>
      <c r="AU39" s="20"/>
      <c r="AV39" s="20"/>
      <c r="AW39" s="22"/>
      <c r="AX39" s="36">
        <f t="shared" ref="AX39:AX45" si="11">COUNTIF(J39:AI39,"bo")</f>
        <v>0</v>
      </c>
      <c r="AY39" s="36"/>
      <c r="AZ39" s="36">
        <v>2</v>
      </c>
      <c r="BA39" s="22" t="s">
        <v>119</v>
      </c>
      <c r="BB39" s="23"/>
    </row>
    <row r="40" spans="1:54" ht="15" thickBot="1" x14ac:dyDescent="0.35">
      <c r="A40" s="135">
        <v>36</v>
      </c>
      <c r="B40" s="126" t="s">
        <v>120</v>
      </c>
      <c r="C40" s="142" t="s">
        <v>121</v>
      </c>
      <c r="D40" s="142" t="s">
        <v>122</v>
      </c>
      <c r="E40" s="220">
        <v>22</v>
      </c>
      <c r="F40" s="151">
        <v>4</v>
      </c>
      <c r="G40" s="148">
        <v>20</v>
      </c>
      <c r="H40" s="267">
        <f t="shared" si="2"/>
        <v>-4.3339999999999996</v>
      </c>
      <c r="I40" s="191">
        <v>8</v>
      </c>
      <c r="J40" s="167">
        <v>8</v>
      </c>
      <c r="K40" s="167">
        <v>8</v>
      </c>
      <c r="L40" s="167">
        <v>8</v>
      </c>
      <c r="M40" s="200">
        <v>8</v>
      </c>
      <c r="N40" s="197"/>
      <c r="O40" s="163"/>
      <c r="P40" s="167">
        <v>8</v>
      </c>
      <c r="Q40" s="200">
        <v>8</v>
      </c>
      <c r="R40" s="200">
        <v>8</v>
      </c>
      <c r="S40" s="200" t="s">
        <v>66</v>
      </c>
      <c r="T40" s="200" t="s">
        <v>66</v>
      </c>
      <c r="U40" s="197"/>
      <c r="V40" s="163"/>
      <c r="W40" s="167">
        <v>8</v>
      </c>
      <c r="X40" s="200">
        <v>8</v>
      </c>
      <c r="Y40" s="200">
        <v>8</v>
      </c>
      <c r="Z40" s="200">
        <v>8</v>
      </c>
      <c r="AA40" s="200">
        <v>8</v>
      </c>
      <c r="AB40" s="197"/>
      <c r="AC40" s="241"/>
      <c r="AD40" s="255">
        <v>8</v>
      </c>
      <c r="AE40" s="200">
        <v>8</v>
      </c>
      <c r="AF40" s="200">
        <v>8</v>
      </c>
      <c r="AG40" s="200">
        <v>8</v>
      </c>
      <c r="AH40" s="256">
        <v>8</v>
      </c>
      <c r="AI40" s="246"/>
      <c r="AJ40" s="237"/>
      <c r="AK40" s="274">
        <v>8</v>
      </c>
      <c r="AL40" s="274">
        <v>8</v>
      </c>
      <c r="AM40" s="158">
        <f t="shared" si="3"/>
        <v>176</v>
      </c>
      <c r="AN40" s="128">
        <f t="shared" si="4"/>
        <v>160</v>
      </c>
      <c r="AO40" s="130">
        <f t="shared" si="0"/>
        <v>-16</v>
      </c>
      <c r="AQ40" s="135">
        <f t="shared" si="5"/>
        <v>36</v>
      </c>
      <c r="AR40" s="108" t="str">
        <f t="shared" si="6"/>
        <v>Marijan Stanković</v>
      </c>
      <c r="AS40" s="38" t="str">
        <f t="shared" si="7"/>
        <v>Presa 2</v>
      </c>
      <c r="AT40" s="76">
        <v>23</v>
      </c>
      <c r="AU40" s="20"/>
      <c r="AV40" s="22"/>
      <c r="AW40" s="22"/>
      <c r="AX40" s="36">
        <f t="shared" si="11"/>
        <v>0</v>
      </c>
      <c r="AY40" s="36"/>
      <c r="AZ40" s="36">
        <f>(COUNTIF(J40:AI40,"go")*8+COUNTIF(J40:AI40,"sd")*8)/8</f>
        <v>2</v>
      </c>
      <c r="BA40" s="22"/>
      <c r="BB40" s="23"/>
    </row>
    <row r="41" spans="1:54" ht="15" thickBot="1" x14ac:dyDescent="0.35">
      <c r="A41" s="135">
        <v>37</v>
      </c>
      <c r="B41" s="126" t="s">
        <v>123</v>
      </c>
      <c r="C41" s="142" t="s">
        <v>124</v>
      </c>
      <c r="D41" s="142" t="s">
        <v>125</v>
      </c>
      <c r="E41" s="148">
        <v>19</v>
      </c>
      <c r="F41" s="151">
        <v>0</v>
      </c>
      <c r="G41" s="148">
        <v>20</v>
      </c>
      <c r="H41" s="267">
        <f t="shared" si="2"/>
        <v>2.6659999999999999</v>
      </c>
      <c r="I41" s="191">
        <v>8</v>
      </c>
      <c r="J41" s="167">
        <v>8</v>
      </c>
      <c r="K41" s="167">
        <v>8</v>
      </c>
      <c r="L41" s="167">
        <v>8</v>
      </c>
      <c r="M41" s="200">
        <v>8</v>
      </c>
      <c r="N41" s="197"/>
      <c r="O41" s="163"/>
      <c r="P41" s="167">
        <v>8</v>
      </c>
      <c r="Q41" s="200">
        <v>8</v>
      </c>
      <c r="R41" s="200">
        <v>8</v>
      </c>
      <c r="S41" s="200">
        <v>8</v>
      </c>
      <c r="T41" s="200">
        <v>8</v>
      </c>
      <c r="U41" s="197"/>
      <c r="V41" s="163"/>
      <c r="W41" s="167">
        <v>8</v>
      </c>
      <c r="X41" s="200">
        <v>8</v>
      </c>
      <c r="Y41" s="200">
        <v>8</v>
      </c>
      <c r="Z41" s="200">
        <v>8</v>
      </c>
      <c r="AA41" s="200">
        <v>8</v>
      </c>
      <c r="AB41" s="197"/>
      <c r="AC41" s="241"/>
      <c r="AD41" s="255">
        <v>8</v>
      </c>
      <c r="AE41" s="200">
        <v>8</v>
      </c>
      <c r="AF41" s="200">
        <v>8</v>
      </c>
      <c r="AG41" s="200">
        <v>8</v>
      </c>
      <c r="AH41" s="256">
        <v>8</v>
      </c>
      <c r="AI41" s="246"/>
      <c r="AJ41" s="237"/>
      <c r="AK41" s="274">
        <v>8</v>
      </c>
      <c r="AL41" s="274">
        <v>8</v>
      </c>
      <c r="AM41" s="158">
        <f t="shared" si="3"/>
        <v>176</v>
      </c>
      <c r="AN41" s="128">
        <f t="shared" si="4"/>
        <v>176</v>
      </c>
      <c r="AO41" s="130">
        <f t="shared" si="0"/>
        <v>0</v>
      </c>
      <c r="AQ41" s="135">
        <f t="shared" si="5"/>
        <v>37</v>
      </c>
      <c r="AR41" s="108" t="str">
        <f t="shared" si="6"/>
        <v>Biljana Atanacković</v>
      </c>
      <c r="AS41" s="38" t="str">
        <f t="shared" si="7"/>
        <v>Presa 2 - pakovanje</v>
      </c>
      <c r="AT41" s="76">
        <v>23</v>
      </c>
      <c r="AU41" s="20"/>
      <c r="AV41" s="22"/>
      <c r="AW41" s="22"/>
      <c r="AX41" s="36">
        <f t="shared" si="11"/>
        <v>0</v>
      </c>
      <c r="AY41" s="36"/>
      <c r="AZ41" s="36">
        <f>(COUNTIF(J41:AI41,"go")*8+COUNTIF(J41:AI41,"sd")*8)/8</f>
        <v>0</v>
      </c>
      <c r="BA41" s="22"/>
      <c r="BB41" s="23"/>
    </row>
    <row r="42" spans="1:54" ht="15" thickBot="1" x14ac:dyDescent="0.35">
      <c r="A42" s="135">
        <v>38</v>
      </c>
      <c r="B42" s="126" t="s">
        <v>126</v>
      </c>
      <c r="C42" s="142" t="s">
        <v>124</v>
      </c>
      <c r="D42" s="142" t="s">
        <v>122</v>
      </c>
      <c r="E42" s="220">
        <v>12</v>
      </c>
      <c r="F42" s="151">
        <v>4</v>
      </c>
      <c r="G42" s="148">
        <v>10</v>
      </c>
      <c r="H42" s="267">
        <f t="shared" si="2"/>
        <v>-4.3339999999999996</v>
      </c>
      <c r="I42" s="191">
        <v>8</v>
      </c>
      <c r="J42" s="167">
        <v>8</v>
      </c>
      <c r="K42" s="167">
        <v>8</v>
      </c>
      <c r="L42" s="167">
        <v>8</v>
      </c>
      <c r="M42" s="200" t="s">
        <v>110</v>
      </c>
      <c r="N42" s="197"/>
      <c r="O42" s="163"/>
      <c r="P42" s="167">
        <v>8</v>
      </c>
      <c r="Q42" s="200">
        <v>8</v>
      </c>
      <c r="R42" s="200">
        <v>8</v>
      </c>
      <c r="S42" s="200">
        <v>8</v>
      </c>
      <c r="T42" s="200">
        <v>8</v>
      </c>
      <c r="U42" s="197"/>
      <c r="V42" s="163"/>
      <c r="W42" s="167">
        <v>8</v>
      </c>
      <c r="X42" s="200">
        <v>8</v>
      </c>
      <c r="Y42" s="200">
        <v>8</v>
      </c>
      <c r="Z42" s="200">
        <v>8</v>
      </c>
      <c r="AA42" s="200">
        <v>8</v>
      </c>
      <c r="AB42" s="197"/>
      <c r="AC42" s="241"/>
      <c r="AD42" s="255" t="s">
        <v>110</v>
      </c>
      <c r="AE42" s="200" t="s">
        <v>110</v>
      </c>
      <c r="AF42" s="200" t="s">
        <v>110</v>
      </c>
      <c r="AG42" s="200" t="s">
        <v>110</v>
      </c>
      <c r="AH42" s="256">
        <v>8</v>
      </c>
      <c r="AI42" s="246">
        <v>8</v>
      </c>
      <c r="AJ42" s="237"/>
      <c r="AK42" s="274">
        <v>8</v>
      </c>
      <c r="AL42" s="274">
        <v>8</v>
      </c>
      <c r="AM42" s="158">
        <f t="shared" si="3"/>
        <v>176</v>
      </c>
      <c r="AN42" s="128">
        <f t="shared" si="4"/>
        <v>144</v>
      </c>
      <c r="AO42" s="130">
        <f t="shared" si="0"/>
        <v>-32</v>
      </c>
      <c r="AQ42" s="135">
        <f t="shared" si="5"/>
        <v>38</v>
      </c>
      <c r="AR42" s="108" t="str">
        <f t="shared" si="6"/>
        <v>Stefan Nikolic</v>
      </c>
      <c r="AS42" s="38" t="str">
        <f t="shared" si="7"/>
        <v>Presa 2 - pakovanje</v>
      </c>
      <c r="AT42" s="76">
        <v>23</v>
      </c>
      <c r="AU42" s="20"/>
      <c r="AV42" s="22"/>
      <c r="AW42" s="22"/>
      <c r="AX42" s="36">
        <f t="shared" si="11"/>
        <v>5</v>
      </c>
      <c r="AY42" s="36"/>
      <c r="AZ42" s="36">
        <f>(COUNTIF(J42:AI42,"go")*8+COUNTIF(J42:AI42,"sd")*8)/8</f>
        <v>0</v>
      </c>
      <c r="BA42" s="22"/>
      <c r="BB42" s="23"/>
    </row>
    <row r="43" spans="1:54" ht="15" thickBot="1" x14ac:dyDescent="0.35">
      <c r="A43" s="135">
        <v>39</v>
      </c>
      <c r="B43" s="126" t="s">
        <v>127</v>
      </c>
      <c r="C43" s="142" t="s">
        <v>128</v>
      </c>
      <c r="D43" s="142" t="s">
        <v>129</v>
      </c>
      <c r="E43" s="148">
        <v>16</v>
      </c>
      <c r="F43" s="151">
        <v>0</v>
      </c>
      <c r="G43" s="148">
        <v>20</v>
      </c>
      <c r="H43" s="267">
        <f t="shared" si="2"/>
        <v>5.6660000000000004</v>
      </c>
      <c r="I43" s="191" t="s">
        <v>110</v>
      </c>
      <c r="J43" s="191" t="s">
        <v>110</v>
      </c>
      <c r="K43" s="191" t="s">
        <v>110</v>
      </c>
      <c r="L43" s="191" t="s">
        <v>110</v>
      </c>
      <c r="M43" s="191" t="s">
        <v>110</v>
      </c>
      <c r="N43" s="197"/>
      <c r="O43" s="163"/>
      <c r="P43" s="167" t="s">
        <v>110</v>
      </c>
      <c r="Q43" s="167" t="s">
        <v>110</v>
      </c>
      <c r="R43" s="167" t="s">
        <v>110</v>
      </c>
      <c r="S43" s="167" t="s">
        <v>110</v>
      </c>
      <c r="T43" s="167" t="s">
        <v>110</v>
      </c>
      <c r="U43" s="197"/>
      <c r="V43" s="163"/>
      <c r="W43" s="167" t="s">
        <v>110</v>
      </c>
      <c r="X43" s="167" t="s">
        <v>110</v>
      </c>
      <c r="Y43" s="167" t="s">
        <v>110</v>
      </c>
      <c r="Z43" s="167" t="s">
        <v>110</v>
      </c>
      <c r="AA43" s="167" t="s">
        <v>110</v>
      </c>
      <c r="AB43" s="197"/>
      <c r="AC43" s="241"/>
      <c r="AD43" s="255" t="s">
        <v>110</v>
      </c>
      <c r="AE43" s="255" t="s">
        <v>110</v>
      </c>
      <c r="AF43" s="255" t="s">
        <v>110</v>
      </c>
      <c r="AG43" s="255" t="s">
        <v>110</v>
      </c>
      <c r="AH43" s="255" t="s">
        <v>110</v>
      </c>
      <c r="AI43" s="246"/>
      <c r="AJ43" s="237"/>
      <c r="AK43" s="274" t="s">
        <v>110</v>
      </c>
      <c r="AL43" s="274" t="s">
        <v>110</v>
      </c>
      <c r="AM43" s="158">
        <f t="shared" si="3"/>
        <v>176</v>
      </c>
      <c r="AN43" s="128">
        <f t="shared" si="4"/>
        <v>0</v>
      </c>
      <c r="AO43" s="130">
        <f t="shared" si="0"/>
        <v>-176</v>
      </c>
      <c r="AQ43" s="135">
        <f t="shared" si="5"/>
        <v>39</v>
      </c>
      <c r="AR43" s="108" t="str">
        <f t="shared" si="6"/>
        <v>Milan Savić</v>
      </c>
      <c r="AS43" s="38" t="str">
        <f t="shared" si="7"/>
        <v>Priprema mrežica</v>
      </c>
      <c r="AT43" s="76">
        <v>22</v>
      </c>
      <c r="AU43" s="20"/>
      <c r="AV43" s="22"/>
      <c r="AW43" s="22"/>
      <c r="AX43" s="36">
        <f t="shared" si="11"/>
        <v>19</v>
      </c>
      <c r="AY43" s="36"/>
      <c r="AZ43" s="36">
        <f>(COUNTIF(J43:AI43,"go")*8+COUNTIF(J43:AI43,"sd")*8)/8</f>
        <v>0</v>
      </c>
      <c r="BA43" s="22" t="s">
        <v>130</v>
      </c>
      <c r="BB43" s="23"/>
    </row>
    <row r="44" spans="1:54" ht="15" thickBot="1" x14ac:dyDescent="0.35">
      <c r="A44" s="135">
        <v>40</v>
      </c>
      <c r="B44" s="126" t="s">
        <v>131</v>
      </c>
      <c r="C44" s="142" t="s">
        <v>128</v>
      </c>
      <c r="D44" s="142" t="s">
        <v>129</v>
      </c>
      <c r="E44" s="148">
        <v>10</v>
      </c>
      <c r="F44" s="151">
        <v>0</v>
      </c>
      <c r="G44" s="148">
        <v>20</v>
      </c>
      <c r="H44" s="267">
        <f t="shared" si="2"/>
        <v>11.666</v>
      </c>
      <c r="I44" s="191">
        <v>8</v>
      </c>
      <c r="J44" s="167">
        <v>8</v>
      </c>
      <c r="K44" s="167">
        <v>8</v>
      </c>
      <c r="L44" s="167">
        <v>8</v>
      </c>
      <c r="M44" s="200">
        <v>8</v>
      </c>
      <c r="N44" s="197">
        <v>8</v>
      </c>
      <c r="O44" s="163"/>
      <c r="P44" s="167">
        <v>8</v>
      </c>
      <c r="Q44" s="200">
        <v>8</v>
      </c>
      <c r="R44" s="200">
        <v>8</v>
      </c>
      <c r="S44" s="200">
        <v>8</v>
      </c>
      <c r="T44" s="200">
        <v>8</v>
      </c>
      <c r="U44" s="197">
        <v>2</v>
      </c>
      <c r="V44" s="163"/>
      <c r="W44" s="167">
        <v>8</v>
      </c>
      <c r="X44" s="200">
        <v>8</v>
      </c>
      <c r="Y44" s="200">
        <v>8</v>
      </c>
      <c r="Z44" s="200">
        <v>8</v>
      </c>
      <c r="AA44" s="200">
        <v>8</v>
      </c>
      <c r="AB44" s="197">
        <v>8</v>
      </c>
      <c r="AC44" s="241"/>
      <c r="AD44" s="255">
        <v>8</v>
      </c>
      <c r="AE44" s="200">
        <v>8</v>
      </c>
      <c r="AF44" s="200">
        <v>8</v>
      </c>
      <c r="AG44" s="200">
        <v>8</v>
      </c>
      <c r="AH44" s="256">
        <v>8</v>
      </c>
      <c r="AI44" s="246">
        <v>8</v>
      </c>
      <c r="AJ44" s="237"/>
      <c r="AK44" s="274">
        <v>8</v>
      </c>
      <c r="AL44" s="274">
        <v>8</v>
      </c>
      <c r="AM44" s="158">
        <f t="shared" si="3"/>
        <v>176</v>
      </c>
      <c r="AN44" s="128">
        <f t="shared" si="4"/>
        <v>202</v>
      </c>
      <c r="AO44" s="130">
        <f t="shared" si="0"/>
        <v>26</v>
      </c>
      <c r="AQ44" s="135">
        <f t="shared" ref="AQ44:AR46" si="12">A44</f>
        <v>40</v>
      </c>
      <c r="AR44" s="108" t="str">
        <f t="shared" si="12"/>
        <v>Jovo Ivaneža</v>
      </c>
      <c r="AS44" s="38"/>
      <c r="AT44" s="76">
        <v>23</v>
      </c>
      <c r="AU44" s="22"/>
      <c r="AV44" s="22"/>
      <c r="AW44" s="22"/>
      <c r="AX44" s="36">
        <f t="shared" si="11"/>
        <v>0</v>
      </c>
      <c r="AY44" s="36"/>
      <c r="AZ44" s="36">
        <f>(COUNTIF(J44:AI44,"go")*8+COUNTIF(J44:AI44,"sd")*8)/8</f>
        <v>0</v>
      </c>
      <c r="BA44" s="22"/>
      <c r="BB44" s="23"/>
    </row>
    <row r="45" spans="1:54" ht="15" thickBot="1" x14ac:dyDescent="0.35">
      <c r="A45" s="135">
        <v>41</v>
      </c>
      <c r="B45" s="126" t="s">
        <v>132</v>
      </c>
      <c r="C45" s="143" t="s">
        <v>133</v>
      </c>
      <c r="D45" s="142" t="s">
        <v>134</v>
      </c>
      <c r="E45" s="220">
        <v>11</v>
      </c>
      <c r="F45" s="151">
        <v>4</v>
      </c>
      <c r="G45" s="148">
        <v>10</v>
      </c>
      <c r="H45" s="267">
        <f t="shared" si="2"/>
        <v>-3.3340000000000001</v>
      </c>
      <c r="I45" s="191" t="s">
        <v>110</v>
      </c>
      <c r="J45" s="191" t="s">
        <v>110</v>
      </c>
      <c r="K45" s="191" t="s">
        <v>110</v>
      </c>
      <c r="L45" s="191" t="s">
        <v>110</v>
      </c>
      <c r="M45" s="191" t="s">
        <v>110</v>
      </c>
      <c r="N45" s="197"/>
      <c r="O45" s="163"/>
      <c r="P45" s="167" t="s">
        <v>110</v>
      </c>
      <c r="Q45" s="167" t="s">
        <v>110</v>
      </c>
      <c r="R45" s="167" t="s">
        <v>110</v>
      </c>
      <c r="S45" s="167" t="s">
        <v>110</v>
      </c>
      <c r="T45" s="167" t="s">
        <v>110</v>
      </c>
      <c r="U45" s="197"/>
      <c r="V45" s="163"/>
      <c r="W45" s="167">
        <v>8</v>
      </c>
      <c r="X45" s="200">
        <v>8</v>
      </c>
      <c r="Y45" s="200">
        <v>8</v>
      </c>
      <c r="Z45" s="200">
        <v>8</v>
      </c>
      <c r="AA45" s="200">
        <v>8</v>
      </c>
      <c r="AB45" s="197"/>
      <c r="AC45" s="241"/>
      <c r="AD45" s="255">
        <v>8</v>
      </c>
      <c r="AE45" s="200">
        <v>8</v>
      </c>
      <c r="AF45" s="200">
        <v>8</v>
      </c>
      <c r="AG45" s="200">
        <v>8</v>
      </c>
      <c r="AH45" s="256">
        <v>8</v>
      </c>
      <c r="AI45" s="246"/>
      <c r="AJ45" s="237"/>
      <c r="AK45" s="274">
        <v>8</v>
      </c>
      <c r="AL45" s="274">
        <v>8</v>
      </c>
      <c r="AM45" s="158">
        <f t="shared" si="3"/>
        <v>176</v>
      </c>
      <c r="AN45" s="128">
        <f t="shared" si="4"/>
        <v>96</v>
      </c>
      <c r="AO45" s="130">
        <f t="shared" si="0"/>
        <v>-80</v>
      </c>
      <c r="AQ45" s="135">
        <f t="shared" si="12"/>
        <v>41</v>
      </c>
      <c r="AR45" s="108" t="str">
        <f t="shared" si="12"/>
        <v>Lazar Petrović</v>
      </c>
      <c r="AS45" s="38" t="str">
        <f>C45</f>
        <v xml:space="preserve">Rodicut - Livenje L3 </v>
      </c>
      <c r="AT45" s="76">
        <v>23</v>
      </c>
      <c r="AU45" s="22"/>
      <c r="AV45" s="22"/>
      <c r="AW45" s="22"/>
      <c r="AX45" s="36">
        <f t="shared" si="11"/>
        <v>9</v>
      </c>
      <c r="AY45" s="36"/>
      <c r="AZ45" s="36">
        <v>0</v>
      </c>
      <c r="BA45" s="22"/>
      <c r="BB45" s="23"/>
    </row>
    <row r="46" spans="1:54" ht="15" thickBot="1" x14ac:dyDescent="0.35">
      <c r="A46" s="135">
        <v>42</v>
      </c>
      <c r="B46" s="126" t="s">
        <v>135</v>
      </c>
      <c r="C46" s="143" t="s">
        <v>136</v>
      </c>
      <c r="D46" s="142" t="s">
        <v>134</v>
      </c>
      <c r="E46" s="219">
        <v>13</v>
      </c>
      <c r="F46" s="151">
        <v>2</v>
      </c>
      <c r="G46" s="148">
        <v>13</v>
      </c>
      <c r="H46" s="267">
        <f t="shared" si="2"/>
        <v>-0.33400000000000007</v>
      </c>
      <c r="I46" s="191">
        <v>8</v>
      </c>
      <c r="J46" s="167">
        <v>8</v>
      </c>
      <c r="K46" s="167">
        <v>8</v>
      </c>
      <c r="L46" s="167">
        <v>8</v>
      </c>
      <c r="M46" s="200">
        <v>8</v>
      </c>
      <c r="N46" s="197"/>
      <c r="O46" s="163"/>
      <c r="P46" s="167">
        <v>8</v>
      </c>
      <c r="Q46" s="200">
        <v>8</v>
      </c>
      <c r="R46" s="200">
        <v>8</v>
      </c>
      <c r="S46" s="200">
        <v>8</v>
      </c>
      <c r="T46" s="200">
        <v>8</v>
      </c>
      <c r="U46" s="197">
        <v>8</v>
      </c>
      <c r="V46" s="163"/>
      <c r="W46" s="167" t="s">
        <v>110</v>
      </c>
      <c r="X46" s="167" t="s">
        <v>110</v>
      </c>
      <c r="Y46" s="167" t="s">
        <v>110</v>
      </c>
      <c r="Z46" s="167" t="s">
        <v>110</v>
      </c>
      <c r="AA46" s="167" t="s">
        <v>110</v>
      </c>
      <c r="AB46" s="197"/>
      <c r="AC46" s="241"/>
      <c r="AD46" s="270">
        <v>8</v>
      </c>
      <c r="AE46" s="262">
        <v>8</v>
      </c>
      <c r="AF46" s="262">
        <v>8</v>
      </c>
      <c r="AG46" s="262">
        <v>8</v>
      </c>
      <c r="AH46" s="271">
        <v>8</v>
      </c>
      <c r="AI46" s="246"/>
      <c r="AJ46" s="237"/>
      <c r="AK46" s="274">
        <v>8</v>
      </c>
      <c r="AL46" s="274">
        <v>8</v>
      </c>
      <c r="AM46" s="158">
        <f t="shared" si="3"/>
        <v>176</v>
      </c>
      <c r="AN46" s="128">
        <f t="shared" si="4"/>
        <v>144</v>
      </c>
      <c r="AO46" s="130">
        <f t="shared" si="0"/>
        <v>-32</v>
      </c>
      <c r="AQ46" s="135">
        <f t="shared" si="12"/>
        <v>42</v>
      </c>
      <c r="AR46" s="108" t="str">
        <f t="shared" si="12"/>
        <v>Nenad Pantić</v>
      </c>
      <c r="AS46" s="38" t="str">
        <f>C46</f>
        <v>Compact - Demontaža</v>
      </c>
      <c r="AT46" s="76">
        <v>14</v>
      </c>
      <c r="AU46" s="20"/>
      <c r="AV46" s="20"/>
      <c r="AW46" s="22"/>
      <c r="AX46" s="36">
        <v>4</v>
      </c>
      <c r="AY46" s="36" t="s">
        <v>137</v>
      </c>
      <c r="AZ46" s="36">
        <f>(COUNTIF(J46:AI46,"go")*8+COUNTIF(J46:AI46,"sd")*8)/8</f>
        <v>0</v>
      </c>
      <c r="BA46" s="22"/>
      <c r="BB46" s="23"/>
    </row>
    <row r="47" spans="1:54" ht="15" thickBot="1" x14ac:dyDescent="0.35">
      <c r="A47" s="135">
        <v>43</v>
      </c>
      <c r="B47" s="126" t="s">
        <v>138</v>
      </c>
      <c r="C47" s="143" t="s">
        <v>136</v>
      </c>
      <c r="D47" s="142" t="s">
        <v>72</v>
      </c>
      <c r="E47" s="220">
        <v>12</v>
      </c>
      <c r="F47" s="151">
        <v>4</v>
      </c>
      <c r="G47" s="148">
        <v>8</v>
      </c>
      <c r="H47" s="267">
        <f t="shared" si="2"/>
        <v>-6.3339999999999996</v>
      </c>
      <c r="I47" s="260">
        <v>8</v>
      </c>
      <c r="J47" s="261">
        <v>8</v>
      </c>
      <c r="K47" s="261">
        <v>8</v>
      </c>
      <c r="L47" s="261" t="s">
        <v>21</v>
      </c>
      <c r="M47" s="262">
        <v>8</v>
      </c>
      <c r="N47" s="197"/>
      <c r="O47" s="163"/>
      <c r="P47" s="167">
        <v>8</v>
      </c>
      <c r="Q47" s="200">
        <v>8</v>
      </c>
      <c r="R47" s="200">
        <v>8</v>
      </c>
      <c r="S47" s="200">
        <v>8</v>
      </c>
      <c r="T47" s="200">
        <v>8</v>
      </c>
      <c r="U47" s="197"/>
      <c r="V47" s="163"/>
      <c r="W47" s="167">
        <v>8</v>
      </c>
      <c r="X47" s="200">
        <v>8</v>
      </c>
      <c r="Y47" s="200">
        <v>8</v>
      </c>
      <c r="Z47" s="200">
        <v>8</v>
      </c>
      <c r="AA47" s="200">
        <v>8</v>
      </c>
      <c r="AB47" s="197"/>
      <c r="AC47" s="241"/>
      <c r="AD47" s="270">
        <v>8</v>
      </c>
      <c r="AE47" s="262">
        <v>8</v>
      </c>
      <c r="AF47" s="262">
        <v>8</v>
      </c>
      <c r="AG47" s="262">
        <v>8</v>
      </c>
      <c r="AH47" s="271">
        <v>8</v>
      </c>
      <c r="AI47" s="246"/>
      <c r="AJ47" s="237"/>
      <c r="AK47" s="274">
        <v>8</v>
      </c>
      <c r="AL47" s="274">
        <v>8</v>
      </c>
      <c r="AM47" s="158">
        <f t="shared" si="3"/>
        <v>176</v>
      </c>
      <c r="AN47" s="128">
        <f t="shared" si="4"/>
        <v>168</v>
      </c>
      <c r="AO47" s="130">
        <f t="shared" si="0"/>
        <v>-8</v>
      </c>
      <c r="AQ47" s="136">
        <v>53</v>
      </c>
      <c r="AR47" s="131" t="s">
        <v>138</v>
      </c>
      <c r="AS47" s="22"/>
      <c r="AT47" s="70">
        <v>14</v>
      </c>
      <c r="AU47" s="20"/>
      <c r="AV47" s="20"/>
      <c r="AW47" s="22"/>
      <c r="AX47" s="20">
        <v>6</v>
      </c>
      <c r="AY47" s="20" t="s">
        <v>139</v>
      </c>
      <c r="AZ47" s="22"/>
      <c r="BA47" s="22"/>
      <c r="BB47" s="23"/>
    </row>
    <row r="48" spans="1:54" ht="15" thickBot="1" x14ac:dyDescent="0.35">
      <c r="A48" s="135">
        <v>44</v>
      </c>
      <c r="B48" s="126" t="s">
        <v>140</v>
      </c>
      <c r="C48" s="142" t="s">
        <v>69</v>
      </c>
      <c r="D48" s="142" t="s">
        <v>72</v>
      </c>
      <c r="E48" s="148">
        <v>0</v>
      </c>
      <c r="F48" s="151">
        <v>0</v>
      </c>
      <c r="G48" s="148">
        <v>3</v>
      </c>
      <c r="H48" s="267">
        <f t="shared" si="2"/>
        <v>4.6660000000000004</v>
      </c>
      <c r="I48" s="191">
        <v>8</v>
      </c>
      <c r="J48" s="167">
        <v>8</v>
      </c>
      <c r="K48" s="167">
        <v>8</v>
      </c>
      <c r="L48" s="167">
        <v>8</v>
      </c>
      <c r="M48" s="200">
        <v>8</v>
      </c>
      <c r="N48" s="197"/>
      <c r="O48" s="163"/>
      <c r="P48" s="261">
        <v>8</v>
      </c>
      <c r="Q48" s="262">
        <v>8</v>
      </c>
      <c r="R48" s="262">
        <v>8</v>
      </c>
      <c r="S48" s="262">
        <v>8</v>
      </c>
      <c r="T48" s="262">
        <v>8</v>
      </c>
      <c r="U48" s="197"/>
      <c r="V48" s="162"/>
      <c r="W48" s="167">
        <v>8</v>
      </c>
      <c r="X48" s="200">
        <v>8</v>
      </c>
      <c r="Y48" s="200">
        <v>8</v>
      </c>
      <c r="Z48" s="200">
        <v>8</v>
      </c>
      <c r="AA48" s="200">
        <v>8</v>
      </c>
      <c r="AB48" s="197"/>
      <c r="AC48" s="241"/>
      <c r="AD48" s="255">
        <v>8</v>
      </c>
      <c r="AE48" s="200">
        <v>8</v>
      </c>
      <c r="AF48" s="200">
        <v>8</v>
      </c>
      <c r="AG48" s="200">
        <v>8</v>
      </c>
      <c r="AH48" s="256">
        <v>8</v>
      </c>
      <c r="AI48" s="246"/>
      <c r="AJ48" s="237"/>
      <c r="AK48" s="277">
        <v>8</v>
      </c>
      <c r="AL48" s="277">
        <v>8</v>
      </c>
      <c r="AM48" s="158">
        <f t="shared" si="3"/>
        <v>176</v>
      </c>
      <c r="AN48" s="128">
        <f t="shared" si="4"/>
        <v>176</v>
      </c>
      <c r="AO48" s="130">
        <f t="shared" si="0"/>
        <v>0</v>
      </c>
      <c r="AQ48" s="136">
        <v>56</v>
      </c>
      <c r="AR48" s="131" t="s">
        <v>140</v>
      </c>
      <c r="AS48" s="22"/>
      <c r="AT48" s="70">
        <v>10</v>
      </c>
      <c r="AU48" s="20"/>
      <c r="AV48" s="20"/>
      <c r="AW48" s="22"/>
      <c r="AX48" s="22"/>
      <c r="AY48" s="22"/>
      <c r="AZ48" s="22"/>
      <c r="BA48" s="22"/>
      <c r="BB48" s="23"/>
    </row>
    <row r="49" spans="1:54" ht="15" thickBot="1" x14ac:dyDescent="0.35">
      <c r="A49" s="135">
        <v>45</v>
      </c>
      <c r="B49" s="126" t="s">
        <v>144</v>
      </c>
      <c r="C49" s="142" t="s">
        <v>145</v>
      </c>
      <c r="D49" s="142" t="s">
        <v>72</v>
      </c>
      <c r="E49" s="219">
        <v>5</v>
      </c>
      <c r="F49" s="151">
        <v>1</v>
      </c>
      <c r="G49" s="148">
        <v>5</v>
      </c>
      <c r="H49" s="267">
        <f t="shared" si="2"/>
        <v>0.66599999999999993</v>
      </c>
      <c r="I49" s="191" t="s">
        <v>110</v>
      </c>
      <c r="J49" s="167">
        <v>8</v>
      </c>
      <c r="K49" s="167">
        <v>8</v>
      </c>
      <c r="L49" s="167">
        <v>8</v>
      </c>
      <c r="M49" s="200">
        <v>8</v>
      </c>
      <c r="N49" s="197"/>
      <c r="O49" s="163"/>
      <c r="P49" s="261">
        <v>8</v>
      </c>
      <c r="Q49" s="262">
        <v>8</v>
      </c>
      <c r="R49" s="262">
        <v>8</v>
      </c>
      <c r="S49" s="262">
        <v>8</v>
      </c>
      <c r="T49" s="262" t="s">
        <v>110</v>
      </c>
      <c r="U49" s="197"/>
      <c r="V49" s="163"/>
      <c r="W49" s="167" t="s">
        <v>110</v>
      </c>
      <c r="X49" s="200" t="s">
        <v>110</v>
      </c>
      <c r="Y49" s="200" t="s">
        <v>110</v>
      </c>
      <c r="Z49" s="200" t="s">
        <v>110</v>
      </c>
      <c r="AA49" s="200" t="s">
        <v>110</v>
      </c>
      <c r="AB49" s="197"/>
      <c r="AC49" s="241"/>
      <c r="AD49" s="255">
        <v>8</v>
      </c>
      <c r="AE49" s="200">
        <v>8</v>
      </c>
      <c r="AF49" s="200">
        <v>8</v>
      </c>
      <c r="AG49" s="200">
        <v>8</v>
      </c>
      <c r="AH49" s="256">
        <v>8</v>
      </c>
      <c r="AI49" s="246"/>
      <c r="AJ49" s="237"/>
      <c r="AK49" s="277">
        <v>8</v>
      </c>
      <c r="AL49" s="277">
        <v>8</v>
      </c>
      <c r="AM49" s="158">
        <f t="shared" si="3"/>
        <v>176</v>
      </c>
      <c r="AN49" s="128">
        <f t="shared" si="4"/>
        <v>120</v>
      </c>
      <c r="AO49" s="130">
        <f t="shared" si="0"/>
        <v>-56</v>
      </c>
      <c r="AQ49" s="136">
        <v>59</v>
      </c>
      <c r="AR49" s="131" t="s">
        <v>144</v>
      </c>
      <c r="AS49" s="22"/>
      <c r="AT49" s="70">
        <v>18</v>
      </c>
      <c r="AU49" s="22"/>
      <c r="AV49" s="20"/>
      <c r="AW49" s="22"/>
      <c r="AX49" s="22"/>
      <c r="AY49" s="22"/>
      <c r="AZ49" s="22"/>
      <c r="BA49" s="22"/>
      <c r="BB49" s="23"/>
    </row>
    <row r="50" spans="1:54" ht="15" thickBot="1" x14ac:dyDescent="0.35">
      <c r="A50" s="135">
        <v>46</v>
      </c>
      <c r="B50" s="126" t="s">
        <v>146</v>
      </c>
      <c r="C50" s="142" t="s">
        <v>145</v>
      </c>
      <c r="D50" s="142" t="s">
        <v>57</v>
      </c>
      <c r="E50" s="219">
        <v>3</v>
      </c>
      <c r="F50" s="151">
        <v>2</v>
      </c>
      <c r="G50" s="148">
        <v>3</v>
      </c>
      <c r="H50" s="267">
        <f t="shared" si="2"/>
        <v>-0.33400000000000007</v>
      </c>
      <c r="I50" s="191">
        <v>8</v>
      </c>
      <c r="J50" s="167">
        <v>8</v>
      </c>
      <c r="K50" s="167">
        <v>8</v>
      </c>
      <c r="L50" s="167">
        <v>8</v>
      </c>
      <c r="M50" s="200">
        <v>8</v>
      </c>
      <c r="N50" s="197"/>
      <c r="O50" s="163"/>
      <c r="P50" s="167">
        <v>8</v>
      </c>
      <c r="Q50" s="200">
        <v>8</v>
      </c>
      <c r="R50" s="200">
        <v>8</v>
      </c>
      <c r="S50" s="200">
        <v>8</v>
      </c>
      <c r="T50" s="200">
        <v>8</v>
      </c>
      <c r="U50" s="197"/>
      <c r="V50" s="163"/>
      <c r="W50" s="261">
        <v>8</v>
      </c>
      <c r="X50" s="261">
        <v>8</v>
      </c>
      <c r="Y50" s="261">
        <v>8</v>
      </c>
      <c r="Z50" s="261">
        <v>8</v>
      </c>
      <c r="AA50" s="261">
        <v>8</v>
      </c>
      <c r="AB50" s="197"/>
      <c r="AC50" s="241"/>
      <c r="AD50" s="255">
        <v>8</v>
      </c>
      <c r="AE50" s="200">
        <v>8</v>
      </c>
      <c r="AF50" s="200">
        <v>8</v>
      </c>
      <c r="AG50" s="200">
        <v>8</v>
      </c>
      <c r="AH50" s="256">
        <v>8</v>
      </c>
      <c r="AI50" s="246"/>
      <c r="AJ50" s="237"/>
      <c r="AK50" s="274">
        <v>8</v>
      </c>
      <c r="AL50" s="274">
        <v>8</v>
      </c>
      <c r="AM50" s="158">
        <f t="shared" si="3"/>
        <v>176</v>
      </c>
      <c r="AN50" s="128">
        <f t="shared" si="4"/>
        <v>176</v>
      </c>
      <c r="AO50" s="130">
        <f t="shared" si="0"/>
        <v>0</v>
      </c>
      <c r="AQ50" s="136">
        <v>60</v>
      </c>
      <c r="AR50" s="131" t="s">
        <v>146</v>
      </c>
      <c r="AS50" s="22"/>
      <c r="AT50" s="70">
        <v>5</v>
      </c>
      <c r="AU50" s="22"/>
      <c r="AV50" s="22"/>
      <c r="AW50" s="22"/>
      <c r="AX50" s="22"/>
      <c r="AY50" s="22"/>
      <c r="AZ50" s="22"/>
      <c r="BA50" s="22"/>
      <c r="BB50" s="23"/>
    </row>
    <row r="51" spans="1:54" ht="15" thickBot="1" x14ac:dyDescent="0.35">
      <c r="A51" s="135">
        <v>47</v>
      </c>
      <c r="B51" s="126" t="s">
        <v>147</v>
      </c>
      <c r="C51" s="142" t="s">
        <v>148</v>
      </c>
      <c r="D51" s="142" t="s">
        <v>122</v>
      </c>
      <c r="E51" s="219">
        <v>3</v>
      </c>
      <c r="F51" s="151">
        <v>2</v>
      </c>
      <c r="G51" s="148">
        <v>3</v>
      </c>
      <c r="H51" s="267">
        <f t="shared" si="2"/>
        <v>-0.33400000000000007</v>
      </c>
      <c r="I51" s="191">
        <v>8</v>
      </c>
      <c r="J51" s="167">
        <v>8</v>
      </c>
      <c r="K51" s="167">
        <v>8</v>
      </c>
      <c r="L51" s="167">
        <v>8</v>
      </c>
      <c r="M51" s="200">
        <v>8</v>
      </c>
      <c r="N51" s="197"/>
      <c r="O51" s="163"/>
      <c r="P51" s="167">
        <v>8</v>
      </c>
      <c r="Q51" s="200">
        <v>8</v>
      </c>
      <c r="R51" s="200">
        <v>8</v>
      </c>
      <c r="S51" s="200">
        <v>8</v>
      </c>
      <c r="T51" s="200">
        <v>8</v>
      </c>
      <c r="U51" s="197"/>
      <c r="V51" s="163"/>
      <c r="W51" s="167">
        <v>8</v>
      </c>
      <c r="X51" s="200">
        <v>8</v>
      </c>
      <c r="Y51" s="200">
        <v>8</v>
      </c>
      <c r="Z51" s="200">
        <v>8</v>
      </c>
      <c r="AA51" s="200">
        <v>8</v>
      </c>
      <c r="AB51" s="197"/>
      <c r="AC51" s="241"/>
      <c r="AD51" s="255">
        <v>8</v>
      </c>
      <c r="AE51" s="200">
        <v>8</v>
      </c>
      <c r="AF51" s="200">
        <v>8</v>
      </c>
      <c r="AG51" s="200">
        <v>8</v>
      </c>
      <c r="AH51" s="256">
        <v>8</v>
      </c>
      <c r="AI51" s="246">
        <v>8</v>
      </c>
      <c r="AJ51" s="237"/>
      <c r="AK51" s="274">
        <v>8</v>
      </c>
      <c r="AL51" s="274">
        <v>8</v>
      </c>
      <c r="AM51" s="158">
        <f t="shared" si="3"/>
        <v>176</v>
      </c>
      <c r="AN51" s="128">
        <f t="shared" si="4"/>
        <v>184</v>
      </c>
      <c r="AO51" s="130">
        <f t="shared" si="0"/>
        <v>8</v>
      </c>
      <c r="AQ51" s="136">
        <v>61</v>
      </c>
      <c r="AR51" s="131" t="s">
        <v>147</v>
      </c>
      <c r="AS51" s="22"/>
      <c r="AT51" s="70">
        <v>5</v>
      </c>
      <c r="AU51" s="22"/>
      <c r="AV51" s="22"/>
      <c r="AW51" s="22"/>
      <c r="AX51" s="22"/>
      <c r="AY51" s="22"/>
      <c r="AZ51" s="22"/>
      <c r="BA51" s="22"/>
      <c r="BB51" s="23"/>
    </row>
    <row r="52" spans="1:54" ht="15" thickBot="1" x14ac:dyDescent="0.35">
      <c r="A52" s="135">
        <v>48</v>
      </c>
      <c r="B52" s="126" t="s">
        <v>149</v>
      </c>
      <c r="C52" s="142" t="s">
        <v>150</v>
      </c>
      <c r="D52" s="142" t="s">
        <v>90</v>
      </c>
      <c r="E52" s="219">
        <v>2</v>
      </c>
      <c r="F52" s="151">
        <v>5</v>
      </c>
      <c r="G52" s="148">
        <v>2</v>
      </c>
      <c r="H52" s="267">
        <f t="shared" si="2"/>
        <v>-3.3340000000000001</v>
      </c>
      <c r="I52" s="191">
        <v>8</v>
      </c>
      <c r="J52" s="167">
        <v>8</v>
      </c>
      <c r="K52" s="167">
        <v>8</v>
      </c>
      <c r="L52" s="167">
        <v>8</v>
      </c>
      <c r="M52" s="200">
        <v>8</v>
      </c>
      <c r="N52" s="197"/>
      <c r="O52" s="163"/>
      <c r="P52" s="261">
        <v>8</v>
      </c>
      <c r="Q52" s="262">
        <v>8</v>
      </c>
      <c r="R52" s="262">
        <v>8</v>
      </c>
      <c r="S52" s="262">
        <v>8</v>
      </c>
      <c r="T52" s="262">
        <v>8</v>
      </c>
      <c r="U52" s="197"/>
      <c r="V52" s="163"/>
      <c r="W52" s="167">
        <v>8</v>
      </c>
      <c r="X52" s="200">
        <v>8</v>
      </c>
      <c r="Y52" s="200">
        <v>8</v>
      </c>
      <c r="Z52" s="200">
        <v>8</v>
      </c>
      <c r="AA52" s="200">
        <v>8</v>
      </c>
      <c r="AB52" s="197"/>
      <c r="AC52" s="241"/>
      <c r="AD52" s="255">
        <v>8</v>
      </c>
      <c r="AE52" s="200">
        <v>8</v>
      </c>
      <c r="AF52" s="200">
        <v>8</v>
      </c>
      <c r="AG52" s="200">
        <v>8</v>
      </c>
      <c r="AH52" s="256">
        <v>8</v>
      </c>
      <c r="AI52" s="246"/>
      <c r="AJ52" s="237"/>
      <c r="AK52" s="277">
        <v>8</v>
      </c>
      <c r="AL52" s="277">
        <v>8</v>
      </c>
      <c r="AM52" s="158">
        <f t="shared" si="3"/>
        <v>176</v>
      </c>
      <c r="AN52" s="128">
        <f t="shared" si="4"/>
        <v>176</v>
      </c>
      <c r="AO52" s="130">
        <f t="shared" si="0"/>
        <v>0</v>
      </c>
      <c r="AQ52" s="137"/>
      <c r="AR52" s="109"/>
      <c r="AS52" s="22"/>
      <c r="AT52" s="22"/>
      <c r="AU52" s="22"/>
      <c r="AV52" s="22"/>
      <c r="AW52" s="22"/>
      <c r="AX52" s="22"/>
      <c r="AY52" s="22"/>
      <c r="AZ52" s="22"/>
      <c r="BA52" s="22"/>
      <c r="BB52" s="23"/>
    </row>
    <row r="53" spans="1:54" ht="15" thickBot="1" x14ac:dyDescent="0.35">
      <c r="A53" s="135">
        <v>49</v>
      </c>
      <c r="B53" s="126" t="s">
        <v>151</v>
      </c>
      <c r="C53" s="142" t="s">
        <v>145</v>
      </c>
      <c r="D53" s="142" t="s">
        <v>72</v>
      </c>
      <c r="E53" s="220">
        <v>1</v>
      </c>
      <c r="F53" s="151">
        <v>4</v>
      </c>
      <c r="G53" s="148">
        <v>0</v>
      </c>
      <c r="H53" s="267">
        <f t="shared" si="2"/>
        <v>-3.3340000000000001</v>
      </c>
      <c r="I53" s="191">
        <v>8</v>
      </c>
      <c r="J53" s="167">
        <v>8</v>
      </c>
      <c r="K53" s="167">
        <v>8</v>
      </c>
      <c r="L53" s="167">
        <v>8</v>
      </c>
      <c r="M53" s="200">
        <v>8</v>
      </c>
      <c r="N53" s="197"/>
      <c r="O53" s="163"/>
      <c r="P53" s="167">
        <v>8</v>
      </c>
      <c r="Q53" s="200">
        <v>8</v>
      </c>
      <c r="R53" s="200">
        <v>8</v>
      </c>
      <c r="S53" s="200">
        <v>8</v>
      </c>
      <c r="T53" s="200">
        <v>8</v>
      </c>
      <c r="U53" s="197"/>
      <c r="V53" s="163"/>
      <c r="W53" s="167">
        <v>8</v>
      </c>
      <c r="X53" s="200">
        <v>8</v>
      </c>
      <c r="Y53" s="200">
        <v>8</v>
      </c>
      <c r="Z53" s="200">
        <v>8</v>
      </c>
      <c r="AA53" s="200">
        <v>8</v>
      </c>
      <c r="AB53" s="197"/>
      <c r="AC53" s="241"/>
      <c r="AD53" s="270">
        <v>8</v>
      </c>
      <c r="AE53" s="262">
        <v>8</v>
      </c>
      <c r="AF53" s="262">
        <v>8</v>
      </c>
      <c r="AG53" s="262">
        <v>8</v>
      </c>
      <c r="AH53" s="271">
        <v>8</v>
      </c>
      <c r="AI53" s="246"/>
      <c r="AJ53" s="237"/>
      <c r="AK53" s="274">
        <v>8</v>
      </c>
      <c r="AL53" s="274">
        <v>8</v>
      </c>
      <c r="AM53" s="158">
        <f t="shared" si="3"/>
        <v>176</v>
      </c>
      <c r="AN53" s="128">
        <f t="shared" si="4"/>
        <v>176</v>
      </c>
      <c r="AO53" s="130">
        <f t="shared" si="0"/>
        <v>0</v>
      </c>
      <c r="AQ53" s="137"/>
      <c r="AR53" s="109"/>
      <c r="AS53" s="22"/>
      <c r="AT53" s="22"/>
      <c r="AU53" s="22"/>
      <c r="AV53" s="22"/>
      <c r="AW53" s="22"/>
      <c r="AX53" s="22"/>
      <c r="AY53" s="22"/>
      <c r="AZ53" s="22"/>
      <c r="BA53" s="22"/>
      <c r="BB53" s="23"/>
    </row>
    <row r="54" spans="1:54" ht="15" thickBot="1" x14ac:dyDescent="0.35">
      <c r="A54" s="135">
        <v>50</v>
      </c>
      <c r="B54" s="126" t="s">
        <v>152</v>
      </c>
      <c r="C54" s="142" t="s">
        <v>148</v>
      </c>
      <c r="D54" s="142" t="s">
        <v>153</v>
      </c>
      <c r="E54" s="220">
        <v>1</v>
      </c>
      <c r="F54" s="151">
        <v>4</v>
      </c>
      <c r="G54" s="148">
        <v>0</v>
      </c>
      <c r="H54" s="267">
        <f t="shared" si="2"/>
        <v>-3.3340000000000001</v>
      </c>
      <c r="I54" s="191">
        <v>8</v>
      </c>
      <c r="J54" s="167" t="s">
        <v>21</v>
      </c>
      <c r="K54" s="167">
        <v>8</v>
      </c>
      <c r="L54" s="167">
        <v>8</v>
      </c>
      <c r="M54" s="200">
        <v>8</v>
      </c>
      <c r="N54" s="197"/>
      <c r="O54" s="163"/>
      <c r="P54" s="167">
        <v>8</v>
      </c>
      <c r="Q54" s="200">
        <v>8</v>
      </c>
      <c r="R54" s="200">
        <v>8</v>
      </c>
      <c r="S54" s="200">
        <v>8</v>
      </c>
      <c r="T54" s="200">
        <v>8</v>
      </c>
      <c r="U54" s="197"/>
      <c r="V54" s="163"/>
      <c r="W54" s="167">
        <v>8</v>
      </c>
      <c r="X54" s="200">
        <v>8</v>
      </c>
      <c r="Y54" s="200">
        <v>8</v>
      </c>
      <c r="Z54" s="200">
        <v>8</v>
      </c>
      <c r="AA54" s="200">
        <v>8</v>
      </c>
      <c r="AB54" s="197"/>
      <c r="AC54" s="241"/>
      <c r="AD54" s="255">
        <v>8</v>
      </c>
      <c r="AE54" s="200">
        <v>8</v>
      </c>
      <c r="AF54" s="200">
        <v>8</v>
      </c>
      <c r="AG54" s="200">
        <v>8</v>
      </c>
      <c r="AH54" s="256">
        <v>8</v>
      </c>
      <c r="AI54" s="246">
        <v>8</v>
      </c>
      <c r="AJ54" s="237"/>
      <c r="AK54" s="274">
        <v>8</v>
      </c>
      <c r="AL54" s="274">
        <v>8</v>
      </c>
      <c r="AM54" s="158">
        <f t="shared" si="3"/>
        <v>176</v>
      </c>
      <c r="AN54" s="128">
        <f t="shared" si="4"/>
        <v>176</v>
      </c>
      <c r="AO54" s="130">
        <f t="shared" si="0"/>
        <v>0</v>
      </c>
      <c r="AQ54" s="137"/>
      <c r="AR54" s="109"/>
      <c r="AS54" s="22"/>
      <c r="AT54" s="22"/>
      <c r="AU54" s="22"/>
      <c r="AV54" s="22"/>
      <c r="AW54" s="22"/>
      <c r="AX54" s="22"/>
      <c r="AY54" s="22"/>
      <c r="AZ54" s="22"/>
      <c r="BA54" s="22"/>
      <c r="BB54" s="23"/>
    </row>
    <row r="55" spans="1:54" ht="15" thickBot="1" x14ac:dyDescent="0.35">
      <c r="A55" s="135">
        <v>51</v>
      </c>
      <c r="B55" s="140" t="s">
        <v>154</v>
      </c>
      <c r="C55" s="144" t="s">
        <v>69</v>
      </c>
      <c r="D55" s="144" t="s">
        <v>87</v>
      </c>
      <c r="E55" s="222">
        <v>3</v>
      </c>
      <c r="F55" s="151">
        <v>5</v>
      </c>
      <c r="G55" s="148">
        <v>0</v>
      </c>
      <c r="H55" s="267">
        <f t="shared" si="2"/>
        <v>-6.3339999999999996</v>
      </c>
      <c r="I55" s="260">
        <v>8</v>
      </c>
      <c r="J55" s="261">
        <v>8</v>
      </c>
      <c r="K55" s="261">
        <v>8</v>
      </c>
      <c r="L55" s="261">
        <v>8</v>
      </c>
      <c r="M55" s="262">
        <v>8</v>
      </c>
      <c r="N55" s="197"/>
      <c r="O55" s="163"/>
      <c r="P55" s="167" t="s">
        <v>110</v>
      </c>
      <c r="Q55" s="200">
        <v>8</v>
      </c>
      <c r="R55" s="200">
        <v>8</v>
      </c>
      <c r="S55" s="200">
        <v>8</v>
      </c>
      <c r="T55" s="200">
        <v>8</v>
      </c>
      <c r="U55" s="197"/>
      <c r="V55" s="163"/>
      <c r="W55" s="167">
        <v>8</v>
      </c>
      <c r="X55" s="200">
        <v>8</v>
      </c>
      <c r="Y55" s="200">
        <v>8</v>
      </c>
      <c r="Z55" s="200">
        <v>8</v>
      </c>
      <c r="AA55" s="200">
        <v>8</v>
      </c>
      <c r="AB55" s="197">
        <v>8</v>
      </c>
      <c r="AC55" s="241"/>
      <c r="AD55" s="270">
        <v>8</v>
      </c>
      <c r="AE55" s="262">
        <v>8</v>
      </c>
      <c r="AF55" s="262">
        <v>8</v>
      </c>
      <c r="AG55" s="262">
        <v>8</v>
      </c>
      <c r="AH55" s="271">
        <v>4</v>
      </c>
      <c r="AI55" s="246"/>
      <c r="AJ55" s="237"/>
      <c r="AK55" s="274" t="s">
        <v>110</v>
      </c>
      <c r="AL55" s="274">
        <v>8</v>
      </c>
      <c r="AM55" s="158">
        <f t="shared" si="3"/>
        <v>176</v>
      </c>
      <c r="AN55" s="128">
        <f t="shared" si="4"/>
        <v>164</v>
      </c>
      <c r="AO55" s="130">
        <f t="shared" si="0"/>
        <v>-12</v>
      </c>
      <c r="AP55" s="14"/>
      <c r="AQ55" s="138"/>
      <c r="AR55" s="132"/>
      <c r="AS55" s="71"/>
      <c r="AT55" s="74"/>
      <c r="AU55" s="71"/>
      <c r="AV55" s="71"/>
      <c r="AW55" s="71"/>
      <c r="AX55" s="71"/>
      <c r="AY55" s="71"/>
      <c r="AZ55" s="71"/>
      <c r="BA55" s="71"/>
      <c r="BB55" s="85"/>
    </row>
    <row r="56" spans="1:54" ht="15" thickBot="1" x14ac:dyDescent="0.35">
      <c r="A56" s="135">
        <v>52</v>
      </c>
      <c r="B56" s="175" t="s">
        <v>155</v>
      </c>
      <c r="C56" s="145" t="s">
        <v>61</v>
      </c>
      <c r="D56" s="145" t="s">
        <v>62</v>
      </c>
      <c r="E56" s="149">
        <v>0</v>
      </c>
      <c r="F56" s="151">
        <v>0</v>
      </c>
      <c r="G56" s="148">
        <v>0</v>
      </c>
      <c r="H56" s="267">
        <f t="shared" si="2"/>
        <v>1.6659999999999999</v>
      </c>
      <c r="I56" s="191">
        <v>8</v>
      </c>
      <c r="J56" s="167">
        <v>8</v>
      </c>
      <c r="K56" s="167">
        <v>8</v>
      </c>
      <c r="L56" s="167" t="s">
        <v>66</v>
      </c>
      <c r="M56" s="200">
        <v>8</v>
      </c>
      <c r="N56" s="197"/>
      <c r="O56" s="163"/>
      <c r="P56" s="167">
        <v>8</v>
      </c>
      <c r="Q56" s="200">
        <v>8</v>
      </c>
      <c r="R56" s="200">
        <v>8</v>
      </c>
      <c r="S56" s="200">
        <v>8</v>
      </c>
      <c r="T56" s="200">
        <v>8</v>
      </c>
      <c r="U56" s="206">
        <v>8</v>
      </c>
      <c r="V56" s="163"/>
      <c r="W56" s="167">
        <v>8</v>
      </c>
      <c r="X56" s="200">
        <v>8</v>
      </c>
      <c r="Y56" s="200">
        <v>8</v>
      </c>
      <c r="Z56" s="200">
        <v>8</v>
      </c>
      <c r="AA56" s="200">
        <v>8</v>
      </c>
      <c r="AB56" s="206"/>
      <c r="AC56" s="242"/>
      <c r="AD56" s="255">
        <v>8</v>
      </c>
      <c r="AE56" s="200">
        <v>8</v>
      </c>
      <c r="AF56" s="200" t="s">
        <v>66</v>
      </c>
      <c r="AG56" s="200">
        <v>8</v>
      </c>
      <c r="AH56" s="256">
        <v>8</v>
      </c>
      <c r="AI56" s="248"/>
      <c r="AJ56" s="239"/>
      <c r="AK56" s="276">
        <v>8</v>
      </c>
      <c r="AL56" s="276">
        <v>8</v>
      </c>
      <c r="AM56" s="158">
        <f t="shared" si="3"/>
        <v>176</v>
      </c>
      <c r="AN56" s="128">
        <f t="shared" si="4"/>
        <v>168</v>
      </c>
      <c r="AO56" s="130">
        <f t="shared" si="0"/>
        <v>-8</v>
      </c>
      <c r="AP56" s="14"/>
      <c r="AQ56" s="138">
        <f>A56</f>
        <v>52</v>
      </c>
      <c r="AR56" s="133" t="str">
        <f>B56</f>
        <v>Aleksandar Novakov</v>
      </c>
      <c r="AS56" s="103"/>
      <c r="AT56" s="42"/>
      <c r="AU56" s="103"/>
      <c r="AV56" s="103"/>
      <c r="AW56" s="103"/>
      <c r="AX56" s="103"/>
      <c r="AY56" s="103"/>
      <c r="AZ56" s="103"/>
      <c r="BA56" s="103"/>
      <c r="BB56" s="106"/>
    </row>
    <row r="57" spans="1:54" ht="15" thickBot="1" x14ac:dyDescent="0.35">
      <c r="A57" s="135">
        <v>53</v>
      </c>
      <c r="B57" s="176" t="s">
        <v>156</v>
      </c>
      <c r="C57" s="145"/>
      <c r="D57" s="145" t="s">
        <v>157</v>
      </c>
      <c r="E57" s="149">
        <v>0</v>
      </c>
      <c r="F57" s="151">
        <v>0</v>
      </c>
      <c r="G57" s="148">
        <v>0</v>
      </c>
      <c r="H57" s="267">
        <f t="shared" si="2"/>
        <v>1.6659999999999999</v>
      </c>
      <c r="I57" s="191">
        <v>8</v>
      </c>
      <c r="J57" s="167">
        <v>8</v>
      </c>
      <c r="K57" s="167">
        <v>8</v>
      </c>
      <c r="L57" s="167">
        <v>8</v>
      </c>
      <c r="M57" s="200">
        <v>8</v>
      </c>
      <c r="N57" s="197"/>
      <c r="O57" s="163"/>
      <c r="P57" s="167">
        <v>8</v>
      </c>
      <c r="Q57" s="200">
        <v>8</v>
      </c>
      <c r="R57" s="200">
        <v>8</v>
      </c>
      <c r="S57" s="200">
        <v>8</v>
      </c>
      <c r="T57" s="200">
        <v>8</v>
      </c>
      <c r="U57" s="197"/>
      <c r="V57" s="163"/>
      <c r="W57" s="167">
        <v>8</v>
      </c>
      <c r="X57" s="200">
        <v>8</v>
      </c>
      <c r="Y57" s="200">
        <v>8</v>
      </c>
      <c r="Z57" s="200">
        <v>8</v>
      </c>
      <c r="AA57" s="200">
        <v>8</v>
      </c>
      <c r="AB57" s="197">
        <v>8</v>
      </c>
      <c r="AC57" s="241"/>
      <c r="AD57" s="255">
        <v>8</v>
      </c>
      <c r="AE57" s="200">
        <v>8</v>
      </c>
      <c r="AF57" s="200">
        <v>8</v>
      </c>
      <c r="AG57" s="200">
        <v>8</v>
      </c>
      <c r="AH57" s="256">
        <v>8</v>
      </c>
      <c r="AI57" s="246"/>
      <c r="AJ57" s="237"/>
      <c r="AK57" s="274">
        <v>8</v>
      </c>
      <c r="AL57" s="274">
        <v>8</v>
      </c>
      <c r="AM57" s="158">
        <f t="shared" si="3"/>
        <v>176</v>
      </c>
      <c r="AN57" s="128">
        <f t="shared" ref="AN57:AN62" si="13">SUM(I57:AL57)</f>
        <v>184</v>
      </c>
      <c r="AO57" s="130">
        <f t="shared" ref="AO57:AO62" si="14">AN57-AM57</f>
        <v>8</v>
      </c>
      <c r="AQ57" s="135"/>
      <c r="AR57" s="108"/>
      <c r="AS57" s="38"/>
      <c r="AT57" s="76"/>
      <c r="AU57" s="20"/>
      <c r="AV57" s="20"/>
      <c r="AW57" s="22"/>
      <c r="AX57" s="36"/>
      <c r="AY57" s="36"/>
      <c r="AZ57" s="36"/>
      <c r="BA57" s="22"/>
      <c r="BB57" s="23"/>
    </row>
    <row r="58" spans="1:54" ht="15" thickBot="1" x14ac:dyDescent="0.35">
      <c r="A58" s="135">
        <v>54</v>
      </c>
      <c r="B58" s="176" t="s">
        <v>158</v>
      </c>
      <c r="C58" s="142" t="s">
        <v>48</v>
      </c>
      <c r="D58" s="142" t="s">
        <v>49</v>
      </c>
      <c r="E58" s="149">
        <v>19</v>
      </c>
      <c r="F58" s="151">
        <v>0</v>
      </c>
      <c r="G58" s="148">
        <v>20</v>
      </c>
      <c r="H58" s="267">
        <f t="shared" si="2"/>
        <v>2.6659999999999999</v>
      </c>
      <c r="I58" s="260">
        <v>8</v>
      </c>
      <c r="J58" s="261">
        <v>8</v>
      </c>
      <c r="K58" s="261">
        <v>8</v>
      </c>
      <c r="L58" s="261">
        <v>8</v>
      </c>
      <c r="M58" s="262">
        <v>8</v>
      </c>
      <c r="N58" s="197"/>
      <c r="O58" s="163"/>
      <c r="P58" s="167">
        <v>8</v>
      </c>
      <c r="Q58" s="200">
        <v>8</v>
      </c>
      <c r="R58" s="200">
        <v>8</v>
      </c>
      <c r="S58" s="200" t="s">
        <v>66</v>
      </c>
      <c r="T58" s="200">
        <v>8</v>
      </c>
      <c r="U58" s="197"/>
      <c r="V58" s="163"/>
      <c r="W58" s="167">
        <v>8</v>
      </c>
      <c r="X58" s="200">
        <v>8</v>
      </c>
      <c r="Y58" s="200">
        <v>8</v>
      </c>
      <c r="Z58" s="200">
        <v>8</v>
      </c>
      <c r="AA58" s="200">
        <v>8</v>
      </c>
      <c r="AB58" s="197"/>
      <c r="AC58" s="241"/>
      <c r="AD58" s="255">
        <v>8</v>
      </c>
      <c r="AE58" s="200">
        <v>8</v>
      </c>
      <c r="AF58" s="200">
        <v>8</v>
      </c>
      <c r="AG58" s="200">
        <v>8</v>
      </c>
      <c r="AH58" s="256">
        <v>8</v>
      </c>
      <c r="AI58" s="246"/>
      <c r="AJ58" s="237"/>
      <c r="AK58" s="274">
        <v>8</v>
      </c>
      <c r="AL58" s="274">
        <v>8</v>
      </c>
      <c r="AM58" s="157">
        <f>22*8</f>
        <v>176</v>
      </c>
      <c r="AN58" s="128">
        <f t="shared" si="13"/>
        <v>168</v>
      </c>
      <c r="AO58" s="130">
        <f t="shared" si="14"/>
        <v>-8</v>
      </c>
      <c r="AQ58" s="135">
        <f t="shared" ref="AQ58:AS60" si="15">A58</f>
        <v>54</v>
      </c>
      <c r="AR58" s="108" t="str">
        <f t="shared" si="15"/>
        <v>Aleksandar Perić</v>
      </c>
      <c r="AS58" s="38" t="str">
        <f t="shared" si="15"/>
        <v>Viljuškarista</v>
      </c>
      <c r="AT58" s="76">
        <v>23</v>
      </c>
      <c r="AU58" s="20"/>
      <c r="AV58" s="20"/>
      <c r="AW58" s="22"/>
      <c r="AX58" s="36">
        <f>COUNTIF(J58:AI58,"bo")</f>
        <v>0</v>
      </c>
      <c r="AY58" s="36"/>
      <c r="AZ58" s="36">
        <f>(COUNTIF(J58:AI58,"go")*8+COUNTIF(J58:AI58,"sd")*8)/8</f>
        <v>1</v>
      </c>
      <c r="BA58" s="22"/>
      <c r="BB58" s="23"/>
    </row>
    <row r="59" spans="1:54" ht="15" thickBot="1" x14ac:dyDescent="0.35">
      <c r="A59" s="135">
        <v>55</v>
      </c>
      <c r="B59" s="176" t="s">
        <v>162</v>
      </c>
      <c r="C59" s="145" t="s">
        <v>159</v>
      </c>
      <c r="D59" s="145" t="s">
        <v>160</v>
      </c>
      <c r="E59" s="149">
        <v>18</v>
      </c>
      <c r="F59" s="151">
        <v>0</v>
      </c>
      <c r="G59" s="148">
        <v>20</v>
      </c>
      <c r="H59" s="267">
        <f t="shared" si="2"/>
        <v>3.6659999999999999</v>
      </c>
      <c r="I59" s="191">
        <v>8</v>
      </c>
      <c r="J59" s="167">
        <v>8</v>
      </c>
      <c r="K59" s="167">
        <v>8</v>
      </c>
      <c r="L59" s="167">
        <v>8</v>
      </c>
      <c r="M59" s="200">
        <v>8</v>
      </c>
      <c r="N59" s="197"/>
      <c r="O59" s="163"/>
      <c r="P59" s="167">
        <v>8</v>
      </c>
      <c r="Q59" s="200">
        <v>8</v>
      </c>
      <c r="R59" s="200">
        <v>8</v>
      </c>
      <c r="S59" s="200">
        <v>8</v>
      </c>
      <c r="T59" s="200">
        <v>8</v>
      </c>
      <c r="U59" s="197"/>
      <c r="V59" s="163"/>
      <c r="W59" s="167">
        <v>8</v>
      </c>
      <c r="X59" s="200">
        <v>8</v>
      </c>
      <c r="Y59" s="200">
        <v>8</v>
      </c>
      <c r="Z59" s="200">
        <v>8</v>
      </c>
      <c r="AA59" s="200">
        <v>8</v>
      </c>
      <c r="AB59" s="197"/>
      <c r="AC59" s="241"/>
      <c r="AD59" s="255">
        <v>8</v>
      </c>
      <c r="AE59" s="200">
        <v>8</v>
      </c>
      <c r="AF59" s="200">
        <v>8</v>
      </c>
      <c r="AG59" s="200">
        <v>8</v>
      </c>
      <c r="AH59" s="256">
        <v>8</v>
      </c>
      <c r="AI59" s="246">
        <v>8</v>
      </c>
      <c r="AJ59" s="237"/>
      <c r="AK59" s="274">
        <v>8</v>
      </c>
      <c r="AL59" s="274">
        <v>8</v>
      </c>
      <c r="AM59" s="158">
        <f>22*8</f>
        <v>176</v>
      </c>
      <c r="AN59" s="128">
        <f t="shared" si="13"/>
        <v>184</v>
      </c>
      <c r="AO59" s="130">
        <f t="shared" si="14"/>
        <v>8</v>
      </c>
      <c r="AQ59" s="135">
        <f t="shared" si="15"/>
        <v>55</v>
      </c>
      <c r="AR59" s="108" t="str">
        <f t="shared" si="15"/>
        <v>Saša Nikolić</v>
      </c>
      <c r="AS59" s="38" t="str">
        <f t="shared" si="15"/>
        <v>Magacin</v>
      </c>
      <c r="AT59" s="76">
        <v>17</v>
      </c>
      <c r="AU59" s="22"/>
      <c r="AV59" s="20"/>
      <c r="AW59" s="22"/>
      <c r="AX59" s="36">
        <f>COUNTIF(J59:AI59,"bo")</f>
        <v>0</v>
      </c>
      <c r="AY59" s="36"/>
      <c r="AZ59" s="36">
        <f>(COUNTIF(J59:AI59,"go")*8+COUNTIF(J59:AI59,"sd")*8)/8</f>
        <v>0</v>
      </c>
      <c r="BA59" s="22" t="s">
        <v>163</v>
      </c>
      <c r="BB59" s="23"/>
    </row>
    <row r="60" spans="1:54" ht="15" thickBot="1" x14ac:dyDescent="0.35">
      <c r="A60" s="135">
        <v>56</v>
      </c>
      <c r="B60" s="176" t="s">
        <v>164</v>
      </c>
      <c r="C60" s="145" t="s">
        <v>165</v>
      </c>
      <c r="D60" s="145" t="s">
        <v>166</v>
      </c>
      <c r="E60" s="149">
        <v>12</v>
      </c>
      <c r="F60" s="151">
        <v>0</v>
      </c>
      <c r="G60" s="148">
        <v>20</v>
      </c>
      <c r="H60" s="267">
        <f t="shared" si="2"/>
        <v>9.6660000000000004</v>
      </c>
      <c r="I60" s="191" t="s">
        <v>110</v>
      </c>
      <c r="J60" s="191" t="s">
        <v>110</v>
      </c>
      <c r="K60" s="191" t="s">
        <v>110</v>
      </c>
      <c r="L60" s="191" t="s">
        <v>110</v>
      </c>
      <c r="M60" s="200">
        <v>8</v>
      </c>
      <c r="N60" s="197"/>
      <c r="O60" s="163"/>
      <c r="P60" s="167" t="s">
        <v>31</v>
      </c>
      <c r="Q60" s="200">
        <v>8</v>
      </c>
      <c r="R60" s="200">
        <v>8</v>
      </c>
      <c r="S60" s="200">
        <v>8</v>
      </c>
      <c r="T60" s="200">
        <v>8</v>
      </c>
      <c r="U60" s="197"/>
      <c r="V60" s="163"/>
      <c r="W60" s="167">
        <v>8</v>
      </c>
      <c r="X60" s="200">
        <v>8</v>
      </c>
      <c r="Y60" s="200">
        <v>8</v>
      </c>
      <c r="Z60" s="200">
        <v>8</v>
      </c>
      <c r="AA60" s="200">
        <v>8</v>
      </c>
      <c r="AB60" s="197"/>
      <c r="AC60" s="241"/>
      <c r="AD60" s="255">
        <v>8</v>
      </c>
      <c r="AE60" s="200">
        <v>8</v>
      </c>
      <c r="AF60" s="200">
        <v>8</v>
      </c>
      <c r="AG60" s="200">
        <v>8</v>
      </c>
      <c r="AH60" s="256">
        <v>8</v>
      </c>
      <c r="AI60" s="246"/>
      <c r="AJ60" s="237"/>
      <c r="AK60" s="274">
        <v>8</v>
      </c>
      <c r="AL60" s="274">
        <v>8</v>
      </c>
      <c r="AM60" s="157">
        <f>22*8</f>
        <v>176</v>
      </c>
      <c r="AN60" s="128">
        <f t="shared" si="13"/>
        <v>136</v>
      </c>
      <c r="AO60" s="130">
        <f t="shared" si="14"/>
        <v>-40</v>
      </c>
      <c r="AQ60" s="135">
        <f t="shared" si="15"/>
        <v>56</v>
      </c>
      <c r="AR60" s="108" t="str">
        <f t="shared" si="15"/>
        <v>Miloš Jevtić</v>
      </c>
      <c r="AS60" s="38" t="str">
        <f t="shared" si="15"/>
        <v>Održavanje</v>
      </c>
      <c r="AT60" s="76">
        <v>23</v>
      </c>
      <c r="AU60" s="20"/>
      <c r="AV60" s="20"/>
      <c r="AW60" s="22"/>
      <c r="AX60" s="36">
        <f>COUNTIF(J60:AI60,"bo")</f>
        <v>3</v>
      </c>
      <c r="AY60" s="36"/>
      <c r="AZ60" s="36">
        <f>(COUNTIF(J60:AI60,"go")*8+COUNTIF(J60:AI60,"sd")*8)/8</f>
        <v>0</v>
      </c>
      <c r="BA60" s="22"/>
      <c r="BB60" s="23"/>
    </row>
    <row r="61" spans="1:54" ht="15" thickBot="1" x14ac:dyDescent="0.35">
      <c r="A61" s="180">
        <v>57</v>
      </c>
      <c r="B61" s="181" t="s">
        <v>198</v>
      </c>
      <c r="C61" s="182" t="s">
        <v>159</v>
      </c>
      <c r="D61" s="182" t="s">
        <v>160</v>
      </c>
      <c r="E61" s="183">
        <v>0</v>
      </c>
      <c r="F61" s="184">
        <v>0</v>
      </c>
      <c r="G61" s="148">
        <v>0</v>
      </c>
      <c r="H61" s="267">
        <f>G61-E61-F61+(0*1.666)</f>
        <v>0</v>
      </c>
      <c r="I61" s="191">
        <v>8</v>
      </c>
      <c r="J61" s="167">
        <v>8</v>
      </c>
      <c r="K61" s="167">
        <v>8</v>
      </c>
      <c r="L61" s="167">
        <v>8</v>
      </c>
      <c r="M61" s="200">
        <v>8</v>
      </c>
      <c r="N61" s="198"/>
      <c r="O61" s="186"/>
      <c r="P61" s="167">
        <v>8</v>
      </c>
      <c r="Q61" s="200">
        <v>8</v>
      </c>
      <c r="R61" s="200">
        <v>8</v>
      </c>
      <c r="S61" s="200">
        <v>8</v>
      </c>
      <c r="T61" s="200">
        <v>8</v>
      </c>
      <c r="U61" s="198"/>
      <c r="V61" s="186"/>
      <c r="W61" s="167">
        <v>8</v>
      </c>
      <c r="X61" s="200">
        <v>8</v>
      </c>
      <c r="Y61" s="200">
        <v>8</v>
      </c>
      <c r="Z61" s="200">
        <v>8</v>
      </c>
      <c r="AA61" s="200">
        <v>8</v>
      </c>
      <c r="AB61" s="198"/>
      <c r="AC61" s="243"/>
      <c r="AD61" s="255">
        <v>8</v>
      </c>
      <c r="AE61" s="200">
        <v>8</v>
      </c>
      <c r="AF61" s="200">
        <v>8</v>
      </c>
      <c r="AG61" s="200">
        <v>8</v>
      </c>
      <c r="AH61" s="256">
        <v>8</v>
      </c>
      <c r="AI61" s="246"/>
      <c r="AJ61" s="237"/>
      <c r="AK61" s="274">
        <v>8</v>
      </c>
      <c r="AL61" s="274">
        <v>8</v>
      </c>
      <c r="AM61" s="158">
        <f t="shared" ref="AM61" si="16">22*8</f>
        <v>176</v>
      </c>
      <c r="AN61" s="128">
        <f t="shared" si="13"/>
        <v>176</v>
      </c>
      <c r="AO61" s="130">
        <f t="shared" si="14"/>
        <v>0</v>
      </c>
      <c r="AQ61" s="135"/>
      <c r="AR61" s="108"/>
      <c r="AS61" s="38"/>
      <c r="AT61" s="76"/>
      <c r="AU61" s="20"/>
      <c r="AV61" s="20"/>
      <c r="AW61" s="22"/>
      <c r="AX61" s="36"/>
      <c r="AY61" s="36"/>
      <c r="AZ61" s="36"/>
      <c r="BA61" s="22"/>
      <c r="BB61" s="23"/>
    </row>
    <row r="62" spans="1:54" ht="15" thickBot="1" x14ac:dyDescent="0.35">
      <c r="A62" s="139">
        <v>58</v>
      </c>
      <c r="B62" s="177" t="s">
        <v>167</v>
      </c>
      <c r="C62" s="146" t="s">
        <v>165</v>
      </c>
      <c r="D62" s="146" t="s">
        <v>166</v>
      </c>
      <c r="E62" s="150">
        <v>15</v>
      </c>
      <c r="F62" s="152">
        <v>0</v>
      </c>
      <c r="G62" s="155">
        <v>20</v>
      </c>
      <c r="H62" s="268">
        <f t="shared" si="2"/>
        <v>6.6660000000000004</v>
      </c>
      <c r="I62" s="191">
        <v>8</v>
      </c>
      <c r="J62" s="167">
        <v>8</v>
      </c>
      <c r="K62" s="167">
        <v>8</v>
      </c>
      <c r="L62" s="167">
        <v>8</v>
      </c>
      <c r="M62" s="200">
        <v>8</v>
      </c>
      <c r="N62" s="199"/>
      <c r="O62" s="165"/>
      <c r="P62" s="167">
        <v>8</v>
      </c>
      <c r="Q62" s="200">
        <v>8</v>
      </c>
      <c r="R62" s="200">
        <v>8</v>
      </c>
      <c r="S62" s="200">
        <v>8</v>
      </c>
      <c r="T62" s="200">
        <v>8</v>
      </c>
      <c r="U62" s="199"/>
      <c r="V62" s="165"/>
      <c r="W62" s="167">
        <v>8</v>
      </c>
      <c r="X62" s="200">
        <v>8</v>
      </c>
      <c r="Y62" s="200">
        <v>8</v>
      </c>
      <c r="Z62" s="200">
        <v>8</v>
      </c>
      <c r="AA62" s="200">
        <v>8</v>
      </c>
      <c r="AB62" s="199"/>
      <c r="AC62" s="244"/>
      <c r="AD62" s="257">
        <v>8</v>
      </c>
      <c r="AE62" s="258">
        <v>8</v>
      </c>
      <c r="AF62" s="258">
        <v>8</v>
      </c>
      <c r="AG62" s="258">
        <v>8</v>
      </c>
      <c r="AH62" s="259">
        <v>8</v>
      </c>
      <c r="AI62" s="246"/>
      <c r="AJ62" s="237"/>
      <c r="AK62" s="274">
        <v>8</v>
      </c>
      <c r="AL62" s="274">
        <v>8</v>
      </c>
      <c r="AM62" s="157">
        <f>22*8</f>
        <v>176</v>
      </c>
      <c r="AN62" s="128">
        <f t="shared" si="13"/>
        <v>176</v>
      </c>
      <c r="AO62" s="130">
        <f t="shared" si="14"/>
        <v>0</v>
      </c>
      <c r="AQ62" s="135">
        <f>A62</f>
        <v>58</v>
      </c>
      <c r="AR62" s="108" t="str">
        <f>B62</f>
        <v>Draško Stokić</v>
      </c>
      <c r="AS62" s="38" t="str">
        <f>C62</f>
        <v>Održavanje</v>
      </c>
      <c r="AT62" s="76">
        <v>23</v>
      </c>
      <c r="AU62" s="74"/>
      <c r="AV62" s="22"/>
      <c r="AW62" s="22"/>
      <c r="AX62" s="36">
        <f>COUNTIF(J62:AI62,"bo")</f>
        <v>0</v>
      </c>
      <c r="AY62" s="36"/>
      <c r="AZ62" s="36">
        <f>(COUNTIF(J62:AI62,"go")*8+COUNTIF(J62:AI62,"sd")*8)/8</f>
        <v>0</v>
      </c>
      <c r="BA62" s="22"/>
      <c r="BB62" s="23"/>
    </row>
    <row r="63" spans="1:54" x14ac:dyDescent="0.3">
      <c r="N63" s="124">
        <f>SUM(N6:N62)</f>
        <v>8</v>
      </c>
      <c r="Q63" s="124">
        <f>SUM(Q6:Q62)</f>
        <v>408</v>
      </c>
      <c r="R63" s="124">
        <f>SUM(R6:R62)</f>
        <v>408</v>
      </c>
      <c r="U63" s="124">
        <f>SUM(U6:U62)</f>
        <v>36</v>
      </c>
      <c r="V63" s="124">
        <f>SUM(V6:V62)</f>
        <v>1</v>
      </c>
      <c r="X63" s="124">
        <f>SUM(X6:X62)</f>
        <v>400</v>
      </c>
      <c r="Y63" s="124">
        <f>SUM(Y6:Y62)</f>
        <v>400</v>
      </c>
      <c r="AB63" s="124">
        <f>SUM(AB6:AB62)</f>
        <v>64</v>
      </c>
      <c r="AE63" s="124">
        <f>SUM(AE6:AE62)</f>
        <v>376</v>
      </c>
      <c r="AF63" s="124">
        <f>SUM(AF6:AF62)</f>
        <v>368</v>
      </c>
      <c r="AI63" s="124">
        <f>SUM(AI6:AI62)</f>
        <v>89</v>
      </c>
      <c r="AJ63" s="124">
        <f t="shared" ref="AJ63:AL63" si="17">SUM(AJ6:AJ62)</f>
        <v>5</v>
      </c>
      <c r="AK63" s="124">
        <f t="shared" si="17"/>
        <v>376</v>
      </c>
      <c r="AL63" s="124">
        <f t="shared" si="17"/>
        <v>376</v>
      </c>
    </row>
    <row r="64" spans="1:54" x14ac:dyDescent="0.3">
      <c r="O64" s="124">
        <f>SUM(O6:O62)</f>
        <v>0</v>
      </c>
      <c r="AI64" s="124">
        <f>SUM(AI6:AI62)</f>
        <v>89</v>
      </c>
    </row>
    <row r="65" spans="1:54" ht="14.7" customHeight="1" x14ac:dyDescent="0.3">
      <c r="A65" s="53"/>
      <c r="B65" s="17"/>
      <c r="C65" s="17"/>
      <c r="D65" s="17"/>
      <c r="E65" s="16"/>
      <c r="F65" s="125"/>
      <c r="G65" s="16"/>
      <c r="H65" s="264"/>
      <c r="I65" s="45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>
        <f>SUM(T6:T55)</f>
        <v>344</v>
      </c>
      <c r="U65" s="16">
        <f>SUM(U6:U55)</f>
        <v>28</v>
      </c>
      <c r="V65" s="45"/>
      <c r="W65" s="45"/>
      <c r="X65" s="16"/>
      <c r="Y65" s="16"/>
      <c r="Z65" s="16"/>
      <c r="AA65" s="16">
        <f>SUM(AA6:AA55)</f>
        <v>344</v>
      </c>
      <c r="AB65" s="16">
        <f>SUM(AB6:AB55)</f>
        <v>56</v>
      </c>
      <c r="AC65" s="45"/>
      <c r="AD65" s="45"/>
      <c r="AE65" s="16"/>
      <c r="AF65" s="16"/>
      <c r="AG65" s="16"/>
      <c r="AH65" s="16">
        <f>SUM(AH6:AH55)</f>
        <v>326</v>
      </c>
      <c r="AI65" s="16">
        <f>SUM(AI6:AI55)</f>
        <v>81</v>
      </c>
      <c r="AJ65" s="16"/>
      <c r="AK65" s="16"/>
      <c r="AL65" s="16"/>
      <c r="AM65" s="56"/>
      <c r="AN65" s="57"/>
      <c r="AO65" s="34"/>
      <c r="AP65" s="14"/>
      <c r="AQ65" s="46"/>
      <c r="AR65" s="47"/>
      <c r="AS65" s="14"/>
      <c r="AT65" s="44"/>
      <c r="AU65" s="14"/>
      <c r="AV65" s="14"/>
      <c r="AW65" s="14"/>
      <c r="AX65" s="14"/>
      <c r="AY65" s="14"/>
      <c r="AZ65" s="14"/>
      <c r="BA65" s="14"/>
      <c r="BB65" s="14"/>
    </row>
    <row r="66" spans="1:54" x14ac:dyDescent="0.3">
      <c r="A66" s="53"/>
      <c r="B66" s="17"/>
      <c r="C66" s="17"/>
      <c r="D66" s="17"/>
      <c r="E66" s="16"/>
      <c r="F66" s="125"/>
      <c r="G66" s="16"/>
      <c r="H66" s="263" t="s">
        <v>169</v>
      </c>
      <c r="I66" s="2">
        <f>+SUM(I13:I58)</f>
        <v>336</v>
      </c>
      <c r="J66" s="2">
        <f>+SUM(J13:J58)</f>
        <v>336</v>
      </c>
      <c r="K66" s="2">
        <f>+SUM(K13:K58)</f>
        <v>336</v>
      </c>
      <c r="L66" s="2">
        <f>+SUM(L13:L58)</f>
        <v>304</v>
      </c>
      <c r="M66" s="2">
        <f>+SUM(M13:M58)</f>
        <v>312</v>
      </c>
      <c r="N66" s="2">
        <f t="shared" ref="I66:AI66" si="18">COUNTA(N13:N58)*8</f>
        <v>8</v>
      </c>
      <c r="O66" s="2">
        <f>+SUM(O13:O58)</f>
        <v>0</v>
      </c>
      <c r="P66" s="2">
        <f>+SUM(P13:P58)</f>
        <v>312</v>
      </c>
      <c r="Q66" s="2">
        <f>+SUM(Q13:Q58)</f>
        <v>328</v>
      </c>
      <c r="R66" s="2">
        <f>+SUM(R13:R58)</f>
        <v>328</v>
      </c>
      <c r="S66" s="2">
        <f>+SUM(S13:S58)</f>
        <v>320</v>
      </c>
      <c r="T66" s="2">
        <f>+SUM(T13:T58)</f>
        <v>320</v>
      </c>
      <c r="U66" s="2">
        <f>+SUM(U13:U58)</f>
        <v>36</v>
      </c>
      <c r="V66" s="2">
        <f>+SUM(V13:V58)</f>
        <v>1</v>
      </c>
      <c r="W66" s="2">
        <f>+SUM(W13:W58)</f>
        <v>320</v>
      </c>
      <c r="X66" s="2">
        <f>+SUM(X13:X58)</f>
        <v>320</v>
      </c>
      <c r="Y66" s="2">
        <f>+SUM(Y13:Y58)</f>
        <v>320</v>
      </c>
      <c r="Z66" s="2">
        <f>+SUM(Z13:Z58)</f>
        <v>320</v>
      </c>
      <c r="AA66" s="2">
        <f>+SUM(AA13:AA58)</f>
        <v>320</v>
      </c>
      <c r="AB66" s="2">
        <f>+SUM(AB13:AB58)</f>
        <v>64</v>
      </c>
      <c r="AC66" s="2">
        <f>+SUM(AC13:AC58)</f>
        <v>1</v>
      </c>
      <c r="AD66" s="2">
        <f>+SUM(AD13:AD58)</f>
        <v>344</v>
      </c>
      <c r="AE66" s="2">
        <f>+SUM(AE13:AE58)</f>
        <v>344</v>
      </c>
      <c r="AF66" s="2">
        <f>+SUM(AF13:AF58)</f>
        <v>336</v>
      </c>
      <c r="AG66" s="2">
        <f>+SUM(AG13:AG58)</f>
        <v>344</v>
      </c>
      <c r="AH66" s="2">
        <f>+SUM(AH13:AH58)</f>
        <v>350</v>
      </c>
      <c r="AI66" s="2">
        <f t="shared" si="18"/>
        <v>80</v>
      </c>
      <c r="AJ66" s="2"/>
      <c r="AK66" s="2">
        <f>+SUM(AK13:AK58)</f>
        <v>344</v>
      </c>
      <c r="AL66" s="2">
        <f>+SUM(AL13:AL58)</f>
        <v>344</v>
      </c>
      <c r="AM66" s="56"/>
      <c r="AN66" s="57"/>
      <c r="AO66" s="34"/>
      <c r="AP66" s="14"/>
      <c r="AQ66" s="46"/>
      <c r="AR66" s="47"/>
      <c r="AS66" s="14"/>
      <c r="AT66" s="44"/>
      <c r="AU66" s="14"/>
      <c r="AV66" s="14"/>
      <c r="AW66" s="14"/>
      <c r="AX66" s="14"/>
      <c r="AY66" s="14"/>
      <c r="AZ66" s="14"/>
      <c r="BA66" s="14"/>
      <c r="BB66" s="14"/>
    </row>
    <row r="67" spans="1:54" x14ac:dyDescent="0.3">
      <c r="A67" s="2"/>
      <c r="B67" s="1"/>
      <c r="C67" s="1"/>
      <c r="D67" s="1"/>
      <c r="E67" s="2"/>
      <c r="F67" s="2"/>
      <c r="G67" s="2"/>
      <c r="H67" s="263" t="s">
        <v>170</v>
      </c>
      <c r="I67" s="2">
        <f t="shared" ref="I67:P67" si="19">SUM(I13:I55)</f>
        <v>312</v>
      </c>
      <c r="J67" s="2">
        <f t="shared" si="19"/>
        <v>312</v>
      </c>
      <c r="K67" s="2">
        <f t="shared" si="19"/>
        <v>312</v>
      </c>
      <c r="L67" s="2">
        <f t="shared" si="19"/>
        <v>288</v>
      </c>
      <c r="M67" s="2">
        <f t="shared" si="19"/>
        <v>288</v>
      </c>
      <c r="N67" s="2">
        <f t="shared" si="19"/>
        <v>8</v>
      </c>
      <c r="O67" s="2">
        <f t="shared" si="19"/>
        <v>0</v>
      </c>
      <c r="P67" s="2">
        <f t="shared" si="19"/>
        <v>288</v>
      </c>
      <c r="Q67" s="2"/>
      <c r="R67" s="2"/>
      <c r="S67" s="2">
        <f t="shared" ref="S67:AH67" si="20">SUM(S13:S57)</f>
        <v>320</v>
      </c>
      <c r="T67" s="2">
        <f t="shared" si="20"/>
        <v>312</v>
      </c>
      <c r="U67" s="2">
        <f t="shared" si="20"/>
        <v>36</v>
      </c>
      <c r="V67" s="2">
        <f t="shared" si="20"/>
        <v>1</v>
      </c>
      <c r="W67" s="2">
        <f t="shared" si="20"/>
        <v>312</v>
      </c>
      <c r="X67" s="2">
        <f t="shared" si="20"/>
        <v>312</v>
      </c>
      <c r="Y67" s="2">
        <f t="shared" si="20"/>
        <v>312</v>
      </c>
      <c r="Z67" s="2">
        <f t="shared" si="20"/>
        <v>312</v>
      </c>
      <c r="AA67" s="2">
        <f t="shared" si="20"/>
        <v>312</v>
      </c>
      <c r="AB67" s="2">
        <f t="shared" si="20"/>
        <v>64</v>
      </c>
      <c r="AC67" s="2">
        <f t="shared" si="20"/>
        <v>1</v>
      </c>
      <c r="AD67" s="2">
        <f t="shared" si="20"/>
        <v>336</v>
      </c>
      <c r="AE67" s="2">
        <f t="shared" si="20"/>
        <v>336</v>
      </c>
      <c r="AF67" s="2">
        <f t="shared" si="20"/>
        <v>328</v>
      </c>
      <c r="AG67" s="2">
        <f t="shared" si="20"/>
        <v>336</v>
      </c>
      <c r="AH67" s="2">
        <f t="shared" si="20"/>
        <v>342</v>
      </c>
      <c r="AI67" s="2">
        <f>SUM(AI13:AI56)</f>
        <v>72</v>
      </c>
      <c r="AJ67" s="2">
        <f>SUM(AJ13:AJ56)</f>
        <v>0</v>
      </c>
      <c r="AK67" s="2">
        <f>SUM(AK13:AK56)</f>
        <v>328</v>
      </c>
      <c r="AL67" s="2">
        <f>SUM(AL13:AL56)</f>
        <v>328</v>
      </c>
      <c r="AN67" s="51"/>
    </row>
    <row r="68" spans="1:54" ht="14.7" customHeight="1" x14ac:dyDescent="0.3">
      <c r="A68" s="2"/>
      <c r="B68" s="1"/>
      <c r="C68" s="1"/>
      <c r="D68" s="1"/>
      <c r="E68" s="2"/>
      <c r="F68" s="2"/>
      <c r="G68" s="2"/>
      <c r="H68" s="265" t="s">
        <v>171</v>
      </c>
      <c r="I68" s="2">
        <f t="shared" ref="I68:V68" si="21">COUNTIF(I13:I57,"bo")</f>
        <v>4</v>
      </c>
      <c r="J68" s="2">
        <f t="shared" si="21"/>
        <v>3</v>
      </c>
      <c r="K68" s="2">
        <f t="shared" si="21"/>
        <v>4</v>
      </c>
      <c r="L68" s="2">
        <f t="shared" si="21"/>
        <v>4</v>
      </c>
      <c r="M68" s="2">
        <f t="shared" si="21"/>
        <v>5</v>
      </c>
      <c r="N68" s="2">
        <f t="shared" si="21"/>
        <v>0</v>
      </c>
      <c r="O68" s="2">
        <f t="shared" si="21"/>
        <v>0</v>
      </c>
      <c r="P68" s="2">
        <f t="shared" si="21"/>
        <v>4</v>
      </c>
      <c r="Q68" s="2">
        <f t="shared" si="21"/>
        <v>3</v>
      </c>
      <c r="R68" s="2">
        <f t="shared" si="21"/>
        <v>3</v>
      </c>
      <c r="S68" s="2">
        <f t="shared" si="21"/>
        <v>3</v>
      </c>
      <c r="T68" s="2">
        <f t="shared" si="21"/>
        <v>4</v>
      </c>
      <c r="U68" s="2">
        <f t="shared" si="21"/>
        <v>0</v>
      </c>
      <c r="V68" s="2">
        <f t="shared" si="21"/>
        <v>0</v>
      </c>
      <c r="W68" s="2">
        <f>COUNTIF(W13:W57,"bo")</f>
        <v>5</v>
      </c>
      <c r="X68" s="2">
        <f t="shared" ref="X68:AI68" si="22">COUNTIF(X13:X57,"bo")</f>
        <v>5</v>
      </c>
      <c r="Y68" s="2">
        <f t="shared" si="22"/>
        <v>5</v>
      </c>
      <c r="Z68" s="2">
        <f t="shared" si="22"/>
        <v>5</v>
      </c>
      <c r="AA68" s="2">
        <f t="shared" si="22"/>
        <v>5</v>
      </c>
      <c r="AB68" s="2">
        <f t="shared" si="22"/>
        <v>0</v>
      </c>
      <c r="AC68" s="2">
        <f t="shared" si="22"/>
        <v>0</v>
      </c>
      <c r="AD68" s="2">
        <f t="shared" si="22"/>
        <v>2</v>
      </c>
      <c r="AE68" s="2">
        <f t="shared" si="22"/>
        <v>2</v>
      </c>
      <c r="AF68" s="2">
        <f t="shared" si="22"/>
        <v>2</v>
      </c>
      <c r="AG68" s="2">
        <f t="shared" si="22"/>
        <v>2</v>
      </c>
      <c r="AH68" s="2">
        <f t="shared" si="22"/>
        <v>1</v>
      </c>
      <c r="AI68" s="2">
        <f t="shared" si="22"/>
        <v>0</v>
      </c>
      <c r="AJ68" s="2">
        <f>COUNTIF(AJ13:AJ57,"bo")</f>
        <v>0</v>
      </c>
      <c r="AK68" s="2">
        <f>COUNTIF(AK13:AK57,"bo")</f>
        <v>2</v>
      </c>
      <c r="AL68" s="2">
        <f>COUNTIF(AL13:AL57,"bo")</f>
        <v>1</v>
      </c>
      <c r="AU68" s="4">
        <f>SUM(AU6:AU51)</f>
        <v>0</v>
      </c>
      <c r="AV68" s="4">
        <f>SUM(AV6:AV51)</f>
        <v>0</v>
      </c>
      <c r="AW68" s="4"/>
      <c r="AX68" s="4">
        <f>SUM(AX6:AX51)</f>
        <v>69</v>
      </c>
      <c r="AY68" s="4"/>
      <c r="AZ68" s="4">
        <f>SUM(AZ6:AZ51)</f>
        <v>16</v>
      </c>
    </row>
    <row r="69" spans="1:54" ht="14.7" customHeight="1" x14ac:dyDescent="0.3">
      <c r="A69" s="2"/>
      <c r="B69" s="1"/>
      <c r="C69" s="1"/>
      <c r="D69" s="1"/>
      <c r="E69" s="2"/>
      <c r="F69" s="2"/>
      <c r="G69" s="2"/>
      <c r="H69" s="265" t="s">
        <v>172</v>
      </c>
      <c r="I69" s="2">
        <f t="shared" ref="I69:N69" si="23">COUNTIF(I6:I55,"sd")+COUNTIF(I6:I55,"ks")+COUNTIF(I6:I55,"go")</f>
        <v>0</v>
      </c>
      <c r="J69" s="2">
        <f t="shared" si="23"/>
        <v>1</v>
      </c>
      <c r="K69" s="2">
        <f t="shared" si="23"/>
        <v>0</v>
      </c>
      <c r="L69" s="2">
        <f t="shared" si="23"/>
        <v>2</v>
      </c>
      <c r="M69" s="2">
        <f t="shared" si="23"/>
        <v>1</v>
      </c>
      <c r="N69" s="2">
        <f t="shared" si="23"/>
        <v>0</v>
      </c>
      <c r="O69" s="2">
        <f t="shared" ref="O69:AI69" si="24">COUNTIF(O13:O55,"sd")+COUNTIF(O13:O55,"ks")+COUNTIF(O13:O55,"go")</f>
        <v>0</v>
      </c>
      <c r="P69" s="2">
        <f t="shared" si="24"/>
        <v>1</v>
      </c>
      <c r="Q69" s="2">
        <f t="shared" si="24"/>
        <v>0</v>
      </c>
      <c r="R69" s="2">
        <f t="shared" si="24"/>
        <v>0</v>
      </c>
      <c r="S69" s="2">
        <f t="shared" si="24"/>
        <v>1</v>
      </c>
      <c r="T69" s="2">
        <f t="shared" si="24"/>
        <v>1</v>
      </c>
      <c r="U69" s="2">
        <f t="shared" si="24"/>
        <v>0</v>
      </c>
      <c r="V69" s="2">
        <f t="shared" si="24"/>
        <v>0</v>
      </c>
      <c r="W69" s="2">
        <f t="shared" si="24"/>
        <v>0</v>
      </c>
      <c r="X69" s="2">
        <f t="shared" si="24"/>
        <v>0</v>
      </c>
      <c r="Y69" s="2">
        <f t="shared" si="24"/>
        <v>0</v>
      </c>
      <c r="Z69" s="2">
        <f t="shared" si="24"/>
        <v>0</v>
      </c>
      <c r="AA69" s="2">
        <f t="shared" si="24"/>
        <v>0</v>
      </c>
      <c r="AB69" s="2">
        <f t="shared" si="24"/>
        <v>0</v>
      </c>
      <c r="AC69" s="2">
        <f t="shared" si="24"/>
        <v>0</v>
      </c>
      <c r="AD69" s="2">
        <f t="shared" si="24"/>
        <v>0</v>
      </c>
      <c r="AE69" s="2">
        <f t="shared" si="24"/>
        <v>0</v>
      </c>
      <c r="AF69" s="2">
        <f t="shared" si="24"/>
        <v>0</v>
      </c>
      <c r="AG69" s="2">
        <f t="shared" si="24"/>
        <v>0</v>
      </c>
      <c r="AH69" s="2">
        <f t="shared" si="24"/>
        <v>0</v>
      </c>
      <c r="AI69" s="2">
        <f t="shared" si="24"/>
        <v>0</v>
      </c>
      <c r="AJ69" s="2">
        <f>COUNTIF(AJ13:AJ55,"sd")+COUNTIF(AJ13:AJ55,"ks")+COUNTIF(AJ13:AJ55,"go")</f>
        <v>0</v>
      </c>
      <c r="AK69" s="2">
        <f>COUNTIF(AK13:AK55,"sd")+COUNTIF(AK13:AK55,"ks")+COUNTIF(AK13:AK55,"go")</f>
        <v>0</v>
      </c>
      <c r="AL69" s="2">
        <f>COUNTIF(AL13:AL55,"sd")+COUNTIF(AL13:AL55,"ks")+COUNTIF(AL13:AL55,"go")</f>
        <v>1</v>
      </c>
    </row>
    <row r="70" spans="1:54" ht="14.7" customHeight="1" x14ac:dyDescent="0.3">
      <c r="A70" s="2"/>
      <c r="B70" s="5" t="s">
        <v>173</v>
      </c>
      <c r="C70" s="2"/>
      <c r="D70" s="2"/>
      <c r="E70" s="2"/>
      <c r="F70" s="2"/>
      <c r="G70" s="2"/>
      <c r="H70" s="26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54" ht="14.7" customHeight="1" x14ac:dyDescent="0.3">
      <c r="A71" s="2"/>
      <c r="B71" s="285" t="s">
        <v>174</v>
      </c>
      <c r="C71" s="285"/>
      <c r="D71" s="3"/>
      <c r="E71" s="2"/>
      <c r="F71" s="2"/>
      <c r="G71" s="2"/>
      <c r="H71" s="265"/>
      <c r="I71" s="2">
        <f t="shared" ref="I71:AI71" si="25">I5</f>
        <v>2</v>
      </c>
      <c r="J71" s="2">
        <f t="shared" si="25"/>
        <v>3</v>
      </c>
      <c r="K71" s="2">
        <f t="shared" si="25"/>
        <v>4</v>
      </c>
      <c r="L71" s="2">
        <f t="shared" si="25"/>
        <v>5</v>
      </c>
      <c r="M71" s="2">
        <f t="shared" si="25"/>
        <v>6</v>
      </c>
      <c r="N71" s="2">
        <f t="shared" si="25"/>
        <v>7</v>
      </c>
      <c r="O71" s="2">
        <f t="shared" si="25"/>
        <v>8</v>
      </c>
      <c r="P71" s="2">
        <f t="shared" si="25"/>
        <v>9</v>
      </c>
      <c r="Q71" s="2">
        <f t="shared" si="25"/>
        <v>10</v>
      </c>
      <c r="R71" s="2">
        <f t="shared" si="25"/>
        <v>11</v>
      </c>
      <c r="S71" s="2">
        <f t="shared" si="25"/>
        <v>12</v>
      </c>
      <c r="T71" s="2">
        <f t="shared" si="25"/>
        <v>13</v>
      </c>
      <c r="U71" s="2">
        <f t="shared" si="25"/>
        <v>14</v>
      </c>
      <c r="V71" s="2">
        <f t="shared" si="25"/>
        <v>15</v>
      </c>
      <c r="W71" s="2">
        <f t="shared" si="25"/>
        <v>16</v>
      </c>
      <c r="X71" s="2">
        <f t="shared" si="25"/>
        <v>17</v>
      </c>
      <c r="Y71" s="2">
        <f t="shared" si="25"/>
        <v>18</v>
      </c>
      <c r="Z71" s="2">
        <f t="shared" si="25"/>
        <v>19</v>
      </c>
      <c r="AA71" s="2">
        <f t="shared" si="25"/>
        <v>20</v>
      </c>
      <c r="AB71" s="2">
        <f t="shared" si="25"/>
        <v>21</v>
      </c>
      <c r="AC71" s="2">
        <f t="shared" si="25"/>
        <v>22</v>
      </c>
      <c r="AD71" s="2">
        <f t="shared" si="25"/>
        <v>23</v>
      </c>
      <c r="AE71" s="2">
        <f t="shared" si="25"/>
        <v>24</v>
      </c>
      <c r="AF71" s="2">
        <f t="shared" si="25"/>
        <v>25</v>
      </c>
      <c r="AG71" s="2">
        <f t="shared" si="25"/>
        <v>26</v>
      </c>
      <c r="AH71" s="2">
        <f t="shared" si="25"/>
        <v>27</v>
      </c>
      <c r="AI71" s="2">
        <f t="shared" si="25"/>
        <v>28</v>
      </c>
      <c r="AJ71" s="2">
        <f>AJ5</f>
        <v>29</v>
      </c>
      <c r="AK71" s="2">
        <f>AK5</f>
        <v>30</v>
      </c>
      <c r="AL71" s="2">
        <f>AL5</f>
        <v>31</v>
      </c>
      <c r="AM71" s="2"/>
      <c r="AN71" s="2"/>
      <c r="AO71" s="2"/>
      <c r="AU71" s="21" t="s">
        <v>23</v>
      </c>
      <c r="AV71" s="27"/>
      <c r="AY71" s="21" t="s">
        <v>20</v>
      </c>
      <c r="AZ71" s="27"/>
    </row>
    <row r="72" spans="1:54" ht="14.7" customHeight="1" x14ac:dyDescent="0.3">
      <c r="A72" s="2"/>
      <c r="B72" s="285" t="s">
        <v>175</v>
      </c>
      <c r="C72" s="285"/>
      <c r="D72" s="3"/>
      <c r="E72" s="2"/>
      <c r="F72" s="2"/>
      <c r="G72" s="2"/>
      <c r="H72" s="265" t="s">
        <v>176</v>
      </c>
      <c r="I72" s="2">
        <f>I68*8</f>
        <v>32</v>
      </c>
      <c r="J72" s="2">
        <f t="shared" ref="J72:AI72" si="26">J68*8</f>
        <v>24</v>
      </c>
      <c r="K72" s="2">
        <f t="shared" si="26"/>
        <v>32</v>
      </c>
      <c r="L72" s="2">
        <f t="shared" si="26"/>
        <v>32</v>
      </c>
      <c r="M72" s="2">
        <f t="shared" si="26"/>
        <v>40</v>
      </c>
      <c r="N72" s="2">
        <f t="shared" si="26"/>
        <v>0</v>
      </c>
      <c r="O72" s="2">
        <f t="shared" si="26"/>
        <v>0</v>
      </c>
      <c r="P72" s="2">
        <f t="shared" si="26"/>
        <v>32</v>
      </c>
      <c r="Q72" s="2">
        <f>Q68*8</f>
        <v>24</v>
      </c>
      <c r="R72" s="2">
        <f>R68*8</f>
        <v>24</v>
      </c>
      <c r="S72" s="2">
        <f t="shared" si="26"/>
        <v>24</v>
      </c>
      <c r="T72" s="2">
        <f>T68*8</f>
        <v>32</v>
      </c>
      <c r="U72" s="2">
        <f t="shared" si="26"/>
        <v>0</v>
      </c>
      <c r="V72" s="2">
        <f t="shared" si="26"/>
        <v>0</v>
      </c>
      <c r="W72" s="2">
        <f t="shared" si="26"/>
        <v>40</v>
      </c>
      <c r="X72" s="2">
        <f t="shared" si="26"/>
        <v>40</v>
      </c>
      <c r="Y72" s="2">
        <f t="shared" si="26"/>
        <v>40</v>
      </c>
      <c r="Z72" s="2">
        <f>Z68*8</f>
        <v>40</v>
      </c>
      <c r="AA72" s="2">
        <f t="shared" si="26"/>
        <v>40</v>
      </c>
      <c r="AB72" s="2">
        <f t="shared" si="26"/>
        <v>0</v>
      </c>
      <c r="AC72" s="2">
        <f t="shared" si="26"/>
        <v>0</v>
      </c>
      <c r="AD72" s="2">
        <f t="shared" si="26"/>
        <v>16</v>
      </c>
      <c r="AE72" s="2">
        <f t="shared" si="26"/>
        <v>16</v>
      </c>
      <c r="AF72" s="2">
        <f t="shared" si="26"/>
        <v>16</v>
      </c>
      <c r="AG72" s="2">
        <f t="shared" si="26"/>
        <v>16</v>
      </c>
      <c r="AH72" s="2">
        <f t="shared" si="26"/>
        <v>8</v>
      </c>
      <c r="AI72" s="2">
        <f t="shared" si="26"/>
        <v>0</v>
      </c>
      <c r="AJ72" s="2">
        <f>AJ68*8</f>
        <v>0</v>
      </c>
      <c r="AK72" s="2">
        <f>AK68*8</f>
        <v>16</v>
      </c>
      <c r="AL72" s="2">
        <f>AL68*8</f>
        <v>8</v>
      </c>
      <c r="AM72" s="1"/>
      <c r="AN72" s="1"/>
      <c r="AO72" s="1"/>
      <c r="AU72" s="28"/>
      <c r="AV72" s="29"/>
      <c r="AY72" s="28"/>
      <c r="AZ72" s="29"/>
    </row>
    <row r="73" spans="1:54" ht="14.7" customHeight="1" x14ac:dyDescent="0.3">
      <c r="A73" s="2"/>
      <c r="B73" s="285" t="s">
        <v>177</v>
      </c>
      <c r="C73" s="285"/>
      <c r="D73" s="3"/>
      <c r="E73" s="2"/>
      <c r="F73" s="2"/>
      <c r="G73" s="2"/>
      <c r="H73" s="265" t="s">
        <v>178</v>
      </c>
      <c r="I73" s="52">
        <f>I72/I66</f>
        <v>9.5238095238095233E-2</v>
      </c>
      <c r="J73" s="52">
        <f t="shared" ref="J73:AI73" si="27">J72/J66</f>
        <v>7.1428571428571425E-2</v>
      </c>
      <c r="K73" s="52">
        <f t="shared" si="27"/>
        <v>9.5238095238095233E-2</v>
      </c>
      <c r="L73" s="52">
        <f t="shared" si="27"/>
        <v>0.10526315789473684</v>
      </c>
      <c r="M73" s="52">
        <f t="shared" si="27"/>
        <v>0.12820512820512819</v>
      </c>
      <c r="N73" s="52">
        <f t="shared" si="27"/>
        <v>0</v>
      </c>
      <c r="O73" s="52" t="e">
        <f t="shared" si="27"/>
        <v>#DIV/0!</v>
      </c>
      <c r="P73" s="52">
        <f t="shared" si="27"/>
        <v>0.10256410256410256</v>
      </c>
      <c r="Q73" s="52">
        <f>Q72/Q66</f>
        <v>7.3170731707317069E-2</v>
      </c>
      <c r="R73" s="52">
        <f t="shared" si="27"/>
        <v>7.3170731707317069E-2</v>
      </c>
      <c r="S73" s="52">
        <f t="shared" si="27"/>
        <v>7.4999999999999997E-2</v>
      </c>
      <c r="T73" s="52">
        <f>T72/T66</f>
        <v>0.1</v>
      </c>
      <c r="U73" s="52">
        <f t="shared" si="27"/>
        <v>0</v>
      </c>
      <c r="V73" s="52">
        <f t="shared" si="27"/>
        <v>0</v>
      </c>
      <c r="W73" s="52">
        <f t="shared" si="27"/>
        <v>0.125</v>
      </c>
      <c r="X73" s="52">
        <f t="shared" si="27"/>
        <v>0.125</v>
      </c>
      <c r="Y73" s="52">
        <f t="shared" si="27"/>
        <v>0.125</v>
      </c>
      <c r="Z73" s="52">
        <f t="shared" si="27"/>
        <v>0.125</v>
      </c>
      <c r="AA73" s="52">
        <f t="shared" si="27"/>
        <v>0.125</v>
      </c>
      <c r="AB73" s="52">
        <f t="shared" si="27"/>
        <v>0</v>
      </c>
      <c r="AC73" s="52">
        <f t="shared" si="27"/>
        <v>0</v>
      </c>
      <c r="AD73" s="52">
        <f t="shared" si="27"/>
        <v>4.6511627906976744E-2</v>
      </c>
      <c r="AE73" s="52">
        <f t="shared" si="27"/>
        <v>4.6511627906976744E-2</v>
      </c>
      <c r="AF73" s="52">
        <f t="shared" si="27"/>
        <v>4.7619047619047616E-2</v>
      </c>
      <c r="AG73" s="52">
        <f t="shared" si="27"/>
        <v>4.6511627906976744E-2</v>
      </c>
      <c r="AH73" s="52">
        <f t="shared" si="27"/>
        <v>2.2857142857142857E-2</v>
      </c>
      <c r="AI73" s="52">
        <f t="shared" si="27"/>
        <v>0</v>
      </c>
      <c r="AJ73" s="52" t="e">
        <f>AJ72/AJ66</f>
        <v>#DIV/0!</v>
      </c>
      <c r="AK73" s="52">
        <f>AK72/AK66</f>
        <v>4.6511627906976744E-2</v>
      </c>
      <c r="AL73" s="52">
        <f>AL72/AL66</f>
        <v>2.3255813953488372E-2</v>
      </c>
      <c r="AM73" s="1"/>
      <c r="AN73" s="1"/>
      <c r="AO73" s="1"/>
      <c r="AU73" s="33" t="s">
        <v>179</v>
      </c>
      <c r="AV73" s="32"/>
      <c r="AY73" s="33" t="s">
        <v>180</v>
      </c>
      <c r="AZ73" s="32"/>
    </row>
    <row r="74" spans="1:54" x14ac:dyDescent="0.3">
      <c r="A74" s="1"/>
      <c r="B74" s="3" t="s">
        <v>181</v>
      </c>
      <c r="C74" s="3"/>
      <c r="D74" s="3"/>
      <c r="E74" s="120"/>
      <c r="F74" s="120"/>
      <c r="G74" s="120"/>
      <c r="H74" s="266"/>
      <c r="I74" s="120"/>
      <c r="J74" s="286"/>
      <c r="K74" s="286"/>
      <c r="L74" s="120"/>
      <c r="M74" s="120"/>
      <c r="N74" s="120"/>
      <c r="O74" s="120"/>
      <c r="P74" s="120"/>
      <c r="Q74" s="286"/>
      <c r="R74" s="286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"/>
      <c r="AN74" s="1"/>
      <c r="AO74" s="1"/>
    </row>
    <row r="75" spans="1:54" x14ac:dyDescent="0.3">
      <c r="A75" s="1"/>
      <c r="B75" s="3" t="s">
        <v>182</v>
      </c>
      <c r="C75" s="3"/>
      <c r="D75" s="3"/>
      <c r="E75" s="120"/>
      <c r="F75" s="120"/>
      <c r="G75" s="120"/>
      <c r="H75" s="266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"/>
      <c r="AN75" s="1"/>
      <c r="AO75" s="1"/>
      <c r="AU75" s="21"/>
      <c r="AV75" s="26"/>
      <c r="AW75" s="27"/>
      <c r="AY75" s="21"/>
      <c r="AZ75" s="26"/>
      <c r="BA75" s="27"/>
    </row>
    <row r="76" spans="1:54" x14ac:dyDescent="0.3">
      <c r="A76" s="1"/>
      <c r="B76" s="3" t="s">
        <v>183</v>
      </c>
      <c r="C76" s="3"/>
      <c r="D76" s="3"/>
      <c r="E76" s="120"/>
      <c r="F76" s="120"/>
      <c r="G76" s="120"/>
      <c r="H76" s="266"/>
      <c r="I76" s="120"/>
      <c r="J76" s="286"/>
      <c r="K76" s="286"/>
      <c r="L76" s="120"/>
      <c r="M76" s="120"/>
      <c r="N76" s="120"/>
      <c r="O76" s="120"/>
      <c r="P76" s="120"/>
      <c r="Q76" s="286"/>
      <c r="R76" s="286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"/>
      <c r="AN76" s="1"/>
      <c r="AO76" s="1"/>
      <c r="AU76" s="28"/>
      <c r="AW76" s="29"/>
      <c r="AY76" s="28"/>
      <c r="BA76" s="29"/>
    </row>
    <row r="77" spans="1:54" x14ac:dyDescent="0.3">
      <c r="A77" s="1"/>
      <c r="B77" s="3" t="s">
        <v>184</v>
      </c>
      <c r="C77" s="3"/>
      <c r="D77" s="3"/>
      <c r="E77" s="120"/>
      <c r="F77" s="120"/>
      <c r="G77" s="120"/>
      <c r="H77" s="266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"/>
      <c r="AN77" s="1"/>
      <c r="AO77" s="1"/>
      <c r="AU77" s="30"/>
      <c r="AV77" s="31"/>
      <c r="AW77" s="32"/>
      <c r="AY77" s="30"/>
      <c r="AZ77" s="31"/>
      <c r="BA77" s="32"/>
    </row>
    <row r="78" spans="1:54" x14ac:dyDescent="0.3">
      <c r="A78" s="1"/>
      <c r="B78" s="6" t="s">
        <v>185</v>
      </c>
      <c r="C78" s="7"/>
      <c r="D78" s="7"/>
      <c r="E78" s="120"/>
      <c r="F78" s="120"/>
      <c r="G78" s="120"/>
      <c r="H78" s="266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"/>
      <c r="AN78" s="1"/>
      <c r="AO78" s="1"/>
    </row>
    <row r="79" spans="1:54" x14ac:dyDescent="0.3">
      <c r="A79" s="1"/>
      <c r="B79" s="8" t="s">
        <v>186</v>
      </c>
      <c r="C79" s="7"/>
      <c r="D79" s="7"/>
      <c r="E79" s="120"/>
      <c r="F79" s="120"/>
      <c r="G79" s="120"/>
      <c r="H79" s="266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"/>
      <c r="AN79" s="1"/>
      <c r="AO79" s="1"/>
    </row>
    <row r="80" spans="1:54" x14ac:dyDescent="0.3">
      <c r="A80" s="1"/>
      <c r="B80" s="9" t="s">
        <v>187</v>
      </c>
      <c r="C80" s="1"/>
      <c r="D80" s="1"/>
      <c r="E80" s="120"/>
      <c r="F80" s="120"/>
      <c r="G80" s="120"/>
      <c r="H80" s="266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"/>
    </row>
    <row r="81" spans="1:41" x14ac:dyDescent="0.3">
      <c r="A81" s="1"/>
      <c r="B81" s="10" t="s">
        <v>188</v>
      </c>
      <c r="C81" s="1"/>
      <c r="D81" s="1"/>
      <c r="E81" s="120"/>
      <c r="F81" s="120"/>
      <c r="G81" s="120"/>
      <c r="H81" s="266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</row>
    <row r="82" spans="1:41" x14ac:dyDescent="0.3">
      <c r="B82" s="13" t="s">
        <v>189</v>
      </c>
      <c r="AH82" s="120"/>
      <c r="AI82" s="120"/>
      <c r="AJ82" s="120"/>
      <c r="AK82" s="120"/>
      <c r="AL82" s="120"/>
      <c r="AM82" s="1"/>
      <c r="AN82" s="1"/>
    </row>
    <row r="83" spans="1:41" x14ac:dyDescent="0.3">
      <c r="B83" t="s">
        <v>190</v>
      </c>
      <c r="AN83" s="1"/>
      <c r="AO83" s="1"/>
    </row>
  </sheetData>
  <mergeCells count="32">
    <mergeCell ref="E2:H2"/>
    <mergeCell ref="A3:A5"/>
    <mergeCell ref="B3:B5"/>
    <mergeCell ref="C3:C5"/>
    <mergeCell ref="D3:D5"/>
    <mergeCell ref="E3:E5"/>
    <mergeCell ref="F3:F5"/>
    <mergeCell ref="G3:G5"/>
    <mergeCell ref="H3:H5"/>
    <mergeCell ref="B72:C72"/>
    <mergeCell ref="AS3:AS5"/>
    <mergeCell ref="AT3:AT5"/>
    <mergeCell ref="AU3:AU5"/>
    <mergeCell ref="AV3:AV5"/>
    <mergeCell ref="I3:AI4"/>
    <mergeCell ref="AM3:AM5"/>
    <mergeCell ref="AN3:AN5"/>
    <mergeCell ref="AO3:AO5"/>
    <mergeCell ref="AQ3:AQ5"/>
    <mergeCell ref="AR3:AR5"/>
    <mergeCell ref="AY3:AY5"/>
    <mergeCell ref="AZ3:AZ5"/>
    <mergeCell ref="BA3:BA5"/>
    <mergeCell ref="BB3:BB5"/>
    <mergeCell ref="B71:C71"/>
    <mergeCell ref="AW3:AW5"/>
    <mergeCell ref="AX3:AX5"/>
    <mergeCell ref="B73:C73"/>
    <mergeCell ref="J74:K74"/>
    <mergeCell ref="Q74:R74"/>
    <mergeCell ref="J76:K76"/>
    <mergeCell ref="Q76:R7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9F56-E368-4D4A-A50D-FC8F63E03FA1}">
  <dimension ref="A1:BB92"/>
  <sheetViews>
    <sheetView tabSelected="1" workbookViewId="0">
      <selection activeCell="H9" sqref="H9"/>
    </sheetView>
  </sheetViews>
  <sheetFormatPr defaultRowHeight="14.4" x14ac:dyDescent="0.3"/>
  <cols>
    <col min="1" max="1" width="4.77734375" customWidth="1"/>
    <col min="2" max="2" width="21.44140625" bestFit="1" customWidth="1"/>
    <col min="3" max="3" width="25.44140625" bestFit="1" customWidth="1"/>
    <col min="4" max="4" width="11.109375" bestFit="1" customWidth="1"/>
    <col min="5" max="8" width="9.77734375" customWidth="1"/>
    <col min="9" max="38" width="4.77734375" customWidth="1"/>
  </cols>
  <sheetData>
    <row r="1" spans="1:54" ht="15" thickBot="1" x14ac:dyDescent="0.35">
      <c r="A1">
        <v>2026</v>
      </c>
    </row>
    <row r="2" spans="1:54" ht="15" thickBot="1" x14ac:dyDescent="0.35">
      <c r="E2" s="311" t="s">
        <v>202</v>
      </c>
      <c r="F2" s="312"/>
      <c r="G2" s="312"/>
      <c r="H2" s="313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</row>
    <row r="3" spans="1:54" ht="18.45" customHeight="1" x14ac:dyDescent="0.3">
      <c r="A3" s="314" t="s">
        <v>1</v>
      </c>
      <c r="B3" s="317" t="s">
        <v>2</v>
      </c>
      <c r="C3" s="320" t="s">
        <v>3</v>
      </c>
      <c r="D3" s="323" t="s">
        <v>4</v>
      </c>
      <c r="E3" s="326" t="s">
        <v>192</v>
      </c>
      <c r="F3" s="326" t="s">
        <v>193</v>
      </c>
      <c r="G3" s="326" t="s">
        <v>203</v>
      </c>
      <c r="H3" s="329" t="s">
        <v>8</v>
      </c>
      <c r="I3" s="364" t="s">
        <v>200</v>
      </c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6"/>
      <c r="AM3" s="300" t="s">
        <v>10</v>
      </c>
      <c r="AN3" s="303" t="s">
        <v>11</v>
      </c>
      <c r="AO3" s="300" t="s">
        <v>12</v>
      </c>
      <c r="AQ3" s="307" t="s">
        <v>1</v>
      </c>
      <c r="AR3" s="309" t="s">
        <v>2</v>
      </c>
      <c r="AS3" s="296" t="s">
        <v>3</v>
      </c>
      <c r="AT3" s="289" t="s">
        <v>13</v>
      </c>
      <c r="AU3" s="289" t="s">
        <v>12</v>
      </c>
      <c r="AV3" s="289" t="s">
        <v>14</v>
      </c>
      <c r="AW3" s="289" t="s">
        <v>15</v>
      </c>
      <c r="AX3" s="287" t="s">
        <v>16</v>
      </c>
      <c r="AY3" s="287" t="s">
        <v>16</v>
      </c>
      <c r="AZ3" s="289" t="s">
        <v>17</v>
      </c>
      <c r="BA3" s="291" t="s">
        <v>17</v>
      </c>
      <c r="BB3" s="293" t="s">
        <v>18</v>
      </c>
    </row>
    <row r="4" spans="1:54" ht="19.05" customHeight="1" thickBot="1" x14ac:dyDescent="0.35">
      <c r="A4" s="315"/>
      <c r="B4" s="318"/>
      <c r="C4" s="321"/>
      <c r="D4" s="324"/>
      <c r="E4" s="327"/>
      <c r="F4" s="327"/>
      <c r="G4" s="327"/>
      <c r="H4" s="330"/>
      <c r="I4" s="367"/>
      <c r="J4" s="368"/>
      <c r="K4" s="368"/>
      <c r="L4" s="374"/>
      <c r="M4" s="374"/>
      <c r="N4" s="368"/>
      <c r="O4" s="368"/>
      <c r="P4" s="368"/>
      <c r="Q4" s="368"/>
      <c r="R4" s="368"/>
      <c r="S4" s="374"/>
      <c r="T4" s="374"/>
      <c r="U4" s="368"/>
      <c r="V4" s="368"/>
      <c r="W4" s="368"/>
      <c r="X4" s="368"/>
      <c r="Y4" s="368"/>
      <c r="Z4" s="374"/>
      <c r="AA4" s="374"/>
      <c r="AB4" s="368"/>
      <c r="AC4" s="368"/>
      <c r="AD4" s="368"/>
      <c r="AE4" s="368"/>
      <c r="AF4" s="368"/>
      <c r="AG4" s="374"/>
      <c r="AH4" s="374"/>
      <c r="AI4" s="368"/>
      <c r="AJ4" s="368"/>
      <c r="AK4" s="368"/>
      <c r="AL4" s="369"/>
      <c r="AM4" s="301"/>
      <c r="AN4" s="304"/>
      <c r="AO4" s="301"/>
      <c r="AQ4" s="308"/>
      <c r="AR4" s="310"/>
      <c r="AS4" s="297"/>
      <c r="AT4" s="290"/>
      <c r="AU4" s="290"/>
      <c r="AV4" s="290"/>
      <c r="AW4" s="290"/>
      <c r="AX4" s="288"/>
      <c r="AY4" s="288"/>
      <c r="AZ4" s="290"/>
      <c r="BA4" s="292"/>
      <c r="BB4" s="294"/>
    </row>
    <row r="5" spans="1:54" ht="15" thickBot="1" x14ac:dyDescent="0.35">
      <c r="A5" s="316"/>
      <c r="B5" s="319"/>
      <c r="C5" s="322"/>
      <c r="D5" s="325"/>
      <c r="E5" s="328"/>
      <c r="F5" s="328"/>
      <c r="G5" s="328"/>
      <c r="H5" s="331"/>
      <c r="I5" s="250">
        <v>1</v>
      </c>
      <c r="J5" s="250">
        <v>2</v>
      </c>
      <c r="K5" s="370">
        <v>3</v>
      </c>
      <c r="L5" s="284">
        <v>4</v>
      </c>
      <c r="M5" s="375">
        <v>5</v>
      </c>
      <c r="N5" s="249">
        <v>6</v>
      </c>
      <c r="O5" s="250">
        <v>7</v>
      </c>
      <c r="P5" s="251">
        <v>8</v>
      </c>
      <c r="Q5" s="279">
        <v>9</v>
      </c>
      <c r="R5" s="251">
        <v>10</v>
      </c>
      <c r="S5" s="376">
        <v>11</v>
      </c>
      <c r="T5" s="377">
        <v>12</v>
      </c>
      <c r="U5" s="249">
        <v>13</v>
      </c>
      <c r="V5" s="251">
        <v>14</v>
      </c>
      <c r="W5" s="279">
        <v>15</v>
      </c>
      <c r="X5" s="250">
        <v>16</v>
      </c>
      <c r="Y5" s="251">
        <v>17</v>
      </c>
      <c r="Z5" s="284">
        <v>18</v>
      </c>
      <c r="AA5" s="375">
        <v>19</v>
      </c>
      <c r="AB5" s="372">
        <v>20</v>
      </c>
      <c r="AC5" s="279">
        <v>21</v>
      </c>
      <c r="AD5" s="250">
        <v>22</v>
      </c>
      <c r="AE5" s="251">
        <v>23</v>
      </c>
      <c r="AF5" s="370">
        <v>24</v>
      </c>
      <c r="AG5" s="284">
        <v>25</v>
      </c>
      <c r="AH5" s="375">
        <v>26</v>
      </c>
      <c r="AI5" s="249">
        <v>27</v>
      </c>
      <c r="AJ5" s="250">
        <v>28</v>
      </c>
      <c r="AK5" s="251">
        <v>29</v>
      </c>
      <c r="AL5" s="279">
        <v>30</v>
      </c>
      <c r="AM5" s="302"/>
      <c r="AN5" s="305"/>
      <c r="AO5" s="306"/>
      <c r="AQ5" s="308"/>
      <c r="AR5" s="310"/>
      <c r="AS5" s="297"/>
      <c r="AT5" s="290"/>
      <c r="AU5" s="290"/>
      <c r="AV5" s="290"/>
      <c r="AW5" s="290"/>
      <c r="AX5" s="288"/>
      <c r="AY5" s="288"/>
      <c r="AZ5" s="290"/>
      <c r="BA5" s="292"/>
      <c r="BB5" s="295"/>
    </row>
    <row r="6" spans="1:54" ht="15" thickBot="1" x14ac:dyDescent="0.35">
      <c r="A6" s="134">
        <v>1</v>
      </c>
      <c r="B6" s="178" t="s">
        <v>19</v>
      </c>
      <c r="C6" s="179" t="s">
        <v>20</v>
      </c>
      <c r="D6" s="141" t="s">
        <v>20</v>
      </c>
      <c r="E6" s="221">
        <v>2</v>
      </c>
      <c r="F6" s="153">
        <v>2</v>
      </c>
      <c r="G6" s="154">
        <v>2</v>
      </c>
      <c r="H6" s="267">
        <f>G6-E6-F6+(3*1.666)</f>
        <v>2.9979999999999993</v>
      </c>
      <c r="I6" s="192"/>
      <c r="J6" s="122"/>
      <c r="K6" s="203"/>
      <c r="L6" s="280"/>
      <c r="M6" s="281"/>
      <c r="N6" s="371"/>
      <c r="O6" s="122"/>
      <c r="P6" s="122"/>
      <c r="Q6" s="122"/>
      <c r="R6" s="203"/>
      <c r="S6" s="280"/>
      <c r="T6" s="281"/>
      <c r="U6" s="192"/>
      <c r="V6" s="122"/>
      <c r="W6" s="122"/>
      <c r="X6" s="122"/>
      <c r="Y6" s="203"/>
      <c r="Z6" s="280"/>
      <c r="AA6" s="281"/>
      <c r="AB6" s="192"/>
      <c r="AC6" s="122"/>
      <c r="AD6" s="122"/>
      <c r="AE6" s="122"/>
      <c r="AF6" s="203"/>
      <c r="AG6" s="280"/>
      <c r="AH6" s="281"/>
      <c r="AI6" s="371"/>
      <c r="AJ6" s="123"/>
      <c r="AK6" s="123"/>
      <c r="AL6" s="123"/>
      <c r="AM6" s="156">
        <f t="shared" ref="AM6:AM37" si="0">22*8</f>
        <v>176</v>
      </c>
      <c r="AN6" s="128">
        <f t="shared" ref="AN6:AN37" si="1">SUM(I6:AL6)</f>
        <v>0</v>
      </c>
      <c r="AO6" s="130">
        <f t="shared" ref="AO6:AO37" si="2">AN6-AM6</f>
        <v>-176</v>
      </c>
      <c r="AQ6" s="134">
        <f t="shared" ref="AQ6:AS11" si="3">A6</f>
        <v>1</v>
      </c>
      <c r="AR6" s="107" t="str">
        <f t="shared" si="3"/>
        <v>Pejački Vladan</v>
      </c>
      <c r="AS6" s="77" t="str">
        <f t="shared" si="3"/>
        <v>Direktor</v>
      </c>
      <c r="AT6" s="99">
        <v>23</v>
      </c>
      <c r="AU6" s="100"/>
      <c r="AV6" s="100"/>
      <c r="AW6" s="100"/>
      <c r="AX6" s="35">
        <f>COUNTIF(J6:AI6,"bo")</f>
        <v>0</v>
      </c>
      <c r="AY6" s="101"/>
      <c r="AZ6" s="35">
        <f>(COUNTIF(J6:AI6,"go")*8+COUNTIF(J6:AI6,"sd")*8)/8</f>
        <v>0</v>
      </c>
      <c r="BA6" s="102"/>
      <c r="BB6" s="25"/>
    </row>
    <row r="7" spans="1:54" ht="15" thickBot="1" x14ac:dyDescent="0.35">
      <c r="A7" s="135">
        <v>2</v>
      </c>
      <c r="B7" s="126" t="s">
        <v>22</v>
      </c>
      <c r="C7" s="142" t="s">
        <v>23</v>
      </c>
      <c r="D7" s="142" t="s">
        <v>24</v>
      </c>
      <c r="E7" s="148">
        <v>6</v>
      </c>
      <c r="F7" s="151">
        <v>0</v>
      </c>
      <c r="G7" s="148">
        <v>20</v>
      </c>
      <c r="H7" s="267">
        <f>G7-E7-F7+(3*1.666)</f>
        <v>18.997999999999998</v>
      </c>
      <c r="I7" s="192"/>
      <c r="J7" s="122"/>
      <c r="K7" s="203"/>
      <c r="L7" s="280"/>
      <c r="M7" s="281"/>
      <c r="N7" s="371"/>
      <c r="O7" s="122"/>
      <c r="P7" s="122"/>
      <c r="Q7" s="122"/>
      <c r="R7" s="203"/>
      <c r="S7" s="280"/>
      <c r="T7" s="281"/>
      <c r="U7" s="192"/>
      <c r="V7" s="122"/>
      <c r="W7" s="122"/>
      <c r="X7" s="122"/>
      <c r="Y7" s="203"/>
      <c r="Z7" s="280"/>
      <c r="AA7" s="281"/>
      <c r="AB7" s="192"/>
      <c r="AC7" s="122"/>
      <c r="AD7" s="122"/>
      <c r="AE7" s="122"/>
      <c r="AF7" s="203"/>
      <c r="AG7" s="280"/>
      <c r="AH7" s="281"/>
      <c r="AI7" s="371"/>
      <c r="AJ7" s="123"/>
      <c r="AK7" s="123"/>
      <c r="AL7" s="123"/>
      <c r="AM7" s="157">
        <f t="shared" si="0"/>
        <v>176</v>
      </c>
      <c r="AN7" s="128">
        <f t="shared" si="1"/>
        <v>0</v>
      </c>
      <c r="AO7" s="130">
        <f t="shared" si="2"/>
        <v>-176</v>
      </c>
      <c r="AQ7" s="135">
        <f t="shared" si="3"/>
        <v>2</v>
      </c>
      <c r="AR7" s="108" t="str">
        <f t="shared" si="3"/>
        <v>Nikola Rajić</v>
      </c>
      <c r="AS7" s="38" t="str">
        <f t="shared" si="3"/>
        <v>Menadžer proizvodnje</v>
      </c>
      <c r="AT7" s="91">
        <v>23</v>
      </c>
      <c r="AU7" s="94"/>
      <c r="AV7" s="92"/>
      <c r="AW7" s="92"/>
      <c r="AX7" s="36">
        <f>COUNTIF(J7:AI7,"bo")</f>
        <v>0</v>
      </c>
      <c r="AY7" s="93"/>
      <c r="AZ7" s="36">
        <f>(COUNTIF(J7:AI7,"go")*8+COUNTIF(J7:AI7,"sd")*8)/8</f>
        <v>0</v>
      </c>
      <c r="BA7" s="94"/>
      <c r="BB7" s="23"/>
    </row>
    <row r="8" spans="1:54" ht="15" thickBot="1" x14ac:dyDescent="0.35">
      <c r="A8" s="382">
        <v>3</v>
      </c>
      <c r="B8" s="126" t="s">
        <v>25</v>
      </c>
      <c r="C8" s="142" t="s">
        <v>26</v>
      </c>
      <c r="D8" s="142" t="s">
        <v>27</v>
      </c>
      <c r="E8" s="148">
        <v>12</v>
      </c>
      <c r="F8" s="151">
        <v>0</v>
      </c>
      <c r="G8" s="148">
        <v>16</v>
      </c>
      <c r="H8" s="267">
        <f>G8-E8-F8+(3*2)</f>
        <v>10</v>
      </c>
      <c r="I8" s="192"/>
      <c r="J8" s="122"/>
      <c r="K8" s="203"/>
      <c r="L8" s="280"/>
      <c r="M8" s="281"/>
      <c r="N8" s="371"/>
      <c r="O8" s="122"/>
      <c r="P8" s="122"/>
      <c r="Q8" s="122"/>
      <c r="R8" s="203"/>
      <c r="S8" s="280"/>
      <c r="T8" s="281"/>
      <c r="U8" s="192"/>
      <c r="V8" s="122"/>
      <c r="W8" s="122"/>
      <c r="X8" s="122"/>
      <c r="Y8" s="203"/>
      <c r="Z8" s="280"/>
      <c r="AA8" s="281"/>
      <c r="AB8" s="192"/>
      <c r="AC8" s="122"/>
      <c r="AD8" s="122"/>
      <c r="AE8" s="122"/>
      <c r="AF8" s="203"/>
      <c r="AG8" s="280"/>
      <c r="AH8" s="281"/>
      <c r="AI8" s="371"/>
      <c r="AJ8" s="123"/>
      <c r="AK8" s="123"/>
      <c r="AL8" s="123"/>
      <c r="AM8" s="157">
        <f t="shared" si="0"/>
        <v>176</v>
      </c>
      <c r="AN8" s="128">
        <f t="shared" si="1"/>
        <v>0</v>
      </c>
      <c r="AO8" s="130">
        <f t="shared" si="2"/>
        <v>-176</v>
      </c>
      <c r="AQ8" s="135">
        <f t="shared" si="3"/>
        <v>3</v>
      </c>
      <c r="AR8" s="108" t="str">
        <f t="shared" si="3"/>
        <v>Milan Janković</v>
      </c>
      <c r="AS8" s="38" t="str">
        <f t="shared" si="3"/>
        <v>Menadžer administracije</v>
      </c>
      <c r="AT8" s="91">
        <v>23</v>
      </c>
      <c r="AU8" s="92"/>
      <c r="AV8" s="92"/>
      <c r="AW8" s="92"/>
      <c r="AX8" s="36">
        <f>COUNTIF(J8:AI8,"bo")</f>
        <v>0</v>
      </c>
      <c r="AY8" s="93"/>
      <c r="AZ8" s="36">
        <f>(COUNTIF(J8:AI8,"go")*8+COUNTIF(J8:AI8,"sd")*8)/8</f>
        <v>0</v>
      </c>
      <c r="BA8" s="94"/>
      <c r="BB8" s="23"/>
    </row>
    <row r="9" spans="1:54" ht="15" thickBot="1" x14ac:dyDescent="0.35">
      <c r="A9" s="135">
        <v>4</v>
      </c>
      <c r="B9" s="126" t="s">
        <v>28</v>
      </c>
      <c r="C9" s="142" t="s">
        <v>29</v>
      </c>
      <c r="D9" s="142" t="s">
        <v>30</v>
      </c>
      <c r="E9" s="148">
        <v>10</v>
      </c>
      <c r="F9" s="151">
        <v>0</v>
      </c>
      <c r="G9" s="148">
        <v>20</v>
      </c>
      <c r="H9" s="267">
        <f>G9-E9-F9+(3*1.666)</f>
        <v>14.997999999999999</v>
      </c>
      <c r="I9" s="192"/>
      <c r="J9" s="122"/>
      <c r="K9" s="203"/>
      <c r="L9" s="280"/>
      <c r="M9" s="281"/>
      <c r="N9" s="371"/>
      <c r="O9" s="122"/>
      <c r="P9" s="122"/>
      <c r="Q9" s="122"/>
      <c r="R9" s="203"/>
      <c r="S9" s="280"/>
      <c r="T9" s="281"/>
      <c r="U9" s="192"/>
      <c r="V9" s="122"/>
      <c r="W9" s="122"/>
      <c r="X9" s="122"/>
      <c r="Y9" s="203"/>
      <c r="Z9" s="280"/>
      <c r="AA9" s="281"/>
      <c r="AB9" s="192"/>
      <c r="AC9" s="122"/>
      <c r="AD9" s="122"/>
      <c r="AE9" s="122"/>
      <c r="AF9" s="203"/>
      <c r="AG9" s="280"/>
      <c r="AH9" s="281"/>
      <c r="AI9" s="371"/>
      <c r="AJ9" s="123"/>
      <c r="AK9" s="123"/>
      <c r="AL9" s="123"/>
      <c r="AM9" s="157">
        <f t="shared" si="0"/>
        <v>176</v>
      </c>
      <c r="AN9" s="128">
        <f t="shared" si="1"/>
        <v>0</v>
      </c>
      <c r="AO9" s="130">
        <f t="shared" si="2"/>
        <v>-176</v>
      </c>
      <c r="AQ9" s="135">
        <f t="shared" si="3"/>
        <v>4</v>
      </c>
      <c r="AR9" s="108" t="str">
        <f t="shared" si="3"/>
        <v>Jelena Miladinović</v>
      </c>
      <c r="AS9" s="38" t="str">
        <f t="shared" si="3"/>
        <v>Administrativni asistent</v>
      </c>
      <c r="AT9" s="91">
        <v>23</v>
      </c>
      <c r="AU9" s="92"/>
      <c r="AV9" s="92"/>
      <c r="AW9" s="92"/>
      <c r="AX9" s="36">
        <f>COUNTIF(J9:AI9,"bo")</f>
        <v>0</v>
      </c>
      <c r="AY9" s="93"/>
      <c r="AZ9" s="36">
        <f>(COUNTIF(J9:AI9,"go")*8+COUNTIF(J9:AI9,"sd")*8)/8</f>
        <v>0</v>
      </c>
      <c r="BA9" s="94"/>
      <c r="BB9" s="23"/>
    </row>
    <row r="10" spans="1:54" ht="15" thickBot="1" x14ac:dyDescent="0.35">
      <c r="A10" s="382">
        <v>5</v>
      </c>
      <c r="B10" s="127" t="s">
        <v>32</v>
      </c>
      <c r="C10" s="142" t="s">
        <v>29</v>
      </c>
      <c r="D10" s="142" t="s">
        <v>24</v>
      </c>
      <c r="E10" s="148">
        <v>16</v>
      </c>
      <c r="F10" s="151">
        <v>0</v>
      </c>
      <c r="G10" s="148">
        <v>20</v>
      </c>
      <c r="H10" s="267">
        <f>G10-E10-F10+(3*1.666)</f>
        <v>8.9979999999999993</v>
      </c>
      <c r="I10" s="192"/>
      <c r="J10" s="122"/>
      <c r="K10" s="203"/>
      <c r="L10" s="280"/>
      <c r="M10" s="281"/>
      <c r="N10" s="371"/>
      <c r="O10" s="122"/>
      <c r="P10" s="122"/>
      <c r="Q10" s="122"/>
      <c r="R10" s="203"/>
      <c r="S10" s="280"/>
      <c r="T10" s="281"/>
      <c r="U10" s="192"/>
      <c r="V10" s="122"/>
      <c r="W10" s="122"/>
      <c r="X10" s="122"/>
      <c r="Y10" s="203"/>
      <c r="Z10" s="280"/>
      <c r="AA10" s="281"/>
      <c r="AB10" s="192"/>
      <c r="AC10" s="122"/>
      <c r="AD10" s="122"/>
      <c r="AE10" s="122"/>
      <c r="AF10" s="203"/>
      <c r="AG10" s="280"/>
      <c r="AH10" s="281"/>
      <c r="AI10" s="371"/>
      <c r="AJ10" s="123"/>
      <c r="AK10" s="123"/>
      <c r="AL10" s="123"/>
      <c r="AM10" s="157">
        <f t="shared" si="0"/>
        <v>176</v>
      </c>
      <c r="AN10" s="128">
        <f t="shared" si="1"/>
        <v>0</v>
      </c>
      <c r="AO10" s="130">
        <f t="shared" si="2"/>
        <v>-176</v>
      </c>
      <c r="AQ10" s="135">
        <f t="shared" si="3"/>
        <v>5</v>
      </c>
      <c r="AR10" s="108" t="str">
        <f t="shared" si="3"/>
        <v>Jelena Pavlović</v>
      </c>
      <c r="AS10" s="38" t="str">
        <f t="shared" si="3"/>
        <v>Administrativni asistent</v>
      </c>
      <c r="AT10" s="91">
        <v>18</v>
      </c>
      <c r="AU10" s="92"/>
      <c r="AV10" s="92"/>
      <c r="AW10" s="92"/>
      <c r="AX10" s="36">
        <v>4</v>
      </c>
      <c r="AY10" s="93" t="s">
        <v>33</v>
      </c>
      <c r="AZ10" s="36">
        <v>1</v>
      </c>
      <c r="BA10" s="94" t="s">
        <v>34</v>
      </c>
      <c r="BB10" s="23"/>
    </row>
    <row r="11" spans="1:54" ht="15" thickBot="1" x14ac:dyDescent="0.35">
      <c r="A11" s="135">
        <v>6</v>
      </c>
      <c r="B11" s="126" t="s">
        <v>35</v>
      </c>
      <c r="C11" s="142" t="s">
        <v>36</v>
      </c>
      <c r="D11" s="142" t="s">
        <v>37</v>
      </c>
      <c r="E11" s="148">
        <v>18</v>
      </c>
      <c r="F11" s="151">
        <v>0</v>
      </c>
      <c r="G11" s="148">
        <v>20</v>
      </c>
      <c r="H11" s="267">
        <f>G11-E11-F11+(3*1.666)</f>
        <v>6.9979999999999993</v>
      </c>
      <c r="I11" s="192"/>
      <c r="J11" s="122"/>
      <c r="K11" s="203"/>
      <c r="L11" s="280"/>
      <c r="M11" s="281"/>
      <c r="N11" s="371"/>
      <c r="O11" s="122"/>
      <c r="P11" s="122"/>
      <c r="Q11" s="122"/>
      <c r="R11" s="203"/>
      <c r="S11" s="280"/>
      <c r="T11" s="281"/>
      <c r="U11" s="192"/>
      <c r="V11" s="122"/>
      <c r="W11" s="122"/>
      <c r="X11" s="122"/>
      <c r="Y11" s="203"/>
      <c r="Z11" s="280"/>
      <c r="AA11" s="281"/>
      <c r="AB11" s="192"/>
      <c r="AC11" s="122"/>
      <c r="AD11" s="122"/>
      <c r="AE11" s="122"/>
      <c r="AF11" s="203"/>
      <c r="AG11" s="280"/>
      <c r="AH11" s="281"/>
      <c r="AI11" s="371"/>
      <c r="AJ11" s="123"/>
      <c r="AK11" s="123"/>
      <c r="AL11" s="123"/>
      <c r="AM11" s="157">
        <f t="shared" si="0"/>
        <v>176</v>
      </c>
      <c r="AN11" s="128">
        <f t="shared" si="1"/>
        <v>0</v>
      </c>
      <c r="AO11" s="130">
        <f t="shared" si="2"/>
        <v>-176</v>
      </c>
      <c r="AQ11" s="135">
        <f t="shared" si="3"/>
        <v>6</v>
      </c>
      <c r="AR11" s="108" t="str">
        <f t="shared" si="3"/>
        <v>Mirjana Stojmirović</v>
      </c>
      <c r="AS11" s="38" t="str">
        <f t="shared" si="3"/>
        <v>Higijeničar</v>
      </c>
      <c r="AT11" s="91">
        <v>23</v>
      </c>
      <c r="AU11" s="92"/>
      <c r="AV11" s="92"/>
      <c r="AW11" s="92"/>
      <c r="AX11" s="36">
        <f>COUNTIF(J11:AI11,"bo")</f>
        <v>0</v>
      </c>
      <c r="AY11" s="93"/>
      <c r="AZ11" s="36">
        <f>(COUNTIF(J11:AI11,"go")*8+COUNTIF(J11:AI11,"sd")*8)/8</f>
        <v>0</v>
      </c>
      <c r="BA11" s="94"/>
      <c r="BB11" s="23"/>
    </row>
    <row r="12" spans="1:54" ht="16.5" customHeight="1" thickBot="1" x14ac:dyDescent="0.35">
      <c r="A12" s="382">
        <v>7</v>
      </c>
      <c r="B12" s="126" t="s">
        <v>38</v>
      </c>
      <c r="C12" s="142" t="s">
        <v>39</v>
      </c>
      <c r="D12" s="142" t="s">
        <v>40</v>
      </c>
      <c r="E12" s="220">
        <v>14</v>
      </c>
      <c r="F12" s="151">
        <v>4</v>
      </c>
      <c r="G12" s="148">
        <v>8</v>
      </c>
      <c r="H12" s="267">
        <f>G12-E12-F12+(3*1.83)</f>
        <v>-4.51</v>
      </c>
      <c r="I12" s="192"/>
      <c r="J12" s="122"/>
      <c r="K12" s="203"/>
      <c r="L12" s="280"/>
      <c r="M12" s="281"/>
      <c r="N12" s="371"/>
      <c r="O12" s="122"/>
      <c r="P12" s="122"/>
      <c r="Q12" s="122"/>
      <c r="R12" s="203"/>
      <c r="S12" s="280"/>
      <c r="T12" s="281"/>
      <c r="U12" s="192"/>
      <c r="V12" s="122"/>
      <c r="W12" s="122"/>
      <c r="X12" s="122"/>
      <c r="Y12" s="203"/>
      <c r="Z12" s="280"/>
      <c r="AA12" s="281"/>
      <c r="AB12" s="192"/>
      <c r="AC12" s="122"/>
      <c r="AD12" s="122"/>
      <c r="AE12" s="122"/>
      <c r="AF12" s="203"/>
      <c r="AG12" s="280"/>
      <c r="AH12" s="281"/>
      <c r="AI12" s="371"/>
      <c r="AJ12" s="123"/>
      <c r="AK12" s="123"/>
      <c r="AL12" s="123"/>
      <c r="AM12" s="157">
        <f t="shared" si="0"/>
        <v>176</v>
      </c>
      <c r="AN12" s="128">
        <f t="shared" si="1"/>
        <v>0</v>
      </c>
      <c r="AO12" s="130">
        <f t="shared" si="2"/>
        <v>-176</v>
      </c>
      <c r="AQ12" s="135">
        <v>7</v>
      </c>
      <c r="AR12" s="108" t="s">
        <v>38</v>
      </c>
      <c r="AS12" s="38" t="s">
        <v>39</v>
      </c>
      <c r="AT12" s="91">
        <v>20</v>
      </c>
      <c r="AU12" s="92"/>
      <c r="AV12" s="92"/>
      <c r="AW12" s="92"/>
      <c r="AX12" s="36">
        <v>0</v>
      </c>
      <c r="AY12" s="93"/>
      <c r="AZ12" s="36">
        <v>3</v>
      </c>
      <c r="BA12" s="94" t="s">
        <v>41</v>
      </c>
      <c r="BB12" s="23"/>
    </row>
    <row r="13" spans="1:54" ht="15" thickBot="1" x14ac:dyDescent="0.35">
      <c r="A13" s="135">
        <v>8</v>
      </c>
      <c r="B13" s="126" t="s">
        <v>42</v>
      </c>
      <c r="C13" s="142" t="s">
        <v>43</v>
      </c>
      <c r="D13" s="142" t="s">
        <v>44</v>
      </c>
      <c r="E13" s="148">
        <v>13</v>
      </c>
      <c r="F13" s="151">
        <v>0</v>
      </c>
      <c r="G13" s="148">
        <v>20</v>
      </c>
      <c r="H13" s="267">
        <f>G13-E13-F13+(3*1.666)</f>
        <v>11.997999999999999</v>
      </c>
      <c r="I13" s="192">
        <v>8</v>
      </c>
      <c r="J13" s="122">
        <v>8</v>
      </c>
      <c r="K13" s="203">
        <v>8</v>
      </c>
      <c r="L13" s="280"/>
      <c r="M13" s="281"/>
      <c r="N13" s="371">
        <v>8</v>
      </c>
      <c r="O13" s="122">
        <v>8</v>
      </c>
      <c r="P13" s="122">
        <v>8</v>
      </c>
      <c r="Q13" s="122">
        <v>8</v>
      </c>
      <c r="R13" s="203"/>
      <c r="S13" s="280"/>
      <c r="T13" s="281"/>
      <c r="U13" s="384"/>
      <c r="V13" s="173">
        <v>8</v>
      </c>
      <c r="W13" s="173">
        <v>8</v>
      </c>
      <c r="X13" s="173"/>
      <c r="Y13" s="218"/>
      <c r="Z13" s="280"/>
      <c r="AA13" s="281"/>
      <c r="AB13" s="371"/>
      <c r="AC13" s="122"/>
      <c r="AD13" s="122"/>
      <c r="AE13" s="122"/>
      <c r="AF13" s="203"/>
      <c r="AG13" s="280"/>
      <c r="AH13" s="281"/>
      <c r="AI13" s="192"/>
      <c r="AJ13" s="122"/>
      <c r="AK13" s="122"/>
      <c r="AL13" s="122"/>
      <c r="AM13" s="157">
        <f t="shared" si="0"/>
        <v>176</v>
      </c>
      <c r="AN13" s="128">
        <f t="shared" si="1"/>
        <v>72</v>
      </c>
      <c r="AO13" s="130">
        <f t="shared" si="2"/>
        <v>-104</v>
      </c>
      <c r="AQ13" s="135">
        <f t="shared" ref="AQ13:AQ42" si="4">A13</f>
        <v>8</v>
      </c>
      <c r="AR13" s="108" t="str">
        <f t="shared" ref="AR13:AR42" si="5">B13</f>
        <v>Sergej Solev</v>
      </c>
      <c r="AS13" s="38" t="str">
        <f t="shared" ref="AS13:AS42" si="6">C13</f>
        <v>Vođa smene</v>
      </c>
      <c r="AT13" s="76">
        <v>15</v>
      </c>
      <c r="AU13" s="20"/>
      <c r="AV13" s="20"/>
      <c r="AW13" s="22"/>
      <c r="AX13" s="36">
        <f t="shared" ref="AX13:AX37" si="7">COUNTIF(J13:AI13,"bo")</f>
        <v>0</v>
      </c>
      <c r="AY13" s="36"/>
      <c r="AZ13" s="36">
        <f t="shared" ref="AZ13:AZ20" si="8">(COUNTIF(J13:AI13,"go")*8+COUNTIF(J13:AI13,"sd")*8)/8</f>
        <v>0</v>
      </c>
      <c r="BA13" s="22"/>
      <c r="BB13" s="23"/>
    </row>
    <row r="14" spans="1:54" ht="15" thickBot="1" x14ac:dyDescent="0.35">
      <c r="A14" s="382">
        <v>9</v>
      </c>
      <c r="B14" s="126" t="s">
        <v>45</v>
      </c>
      <c r="C14" s="142" t="s">
        <v>43</v>
      </c>
      <c r="D14" s="142" t="s">
        <v>44</v>
      </c>
      <c r="E14" s="148">
        <v>14</v>
      </c>
      <c r="F14" s="151">
        <v>0</v>
      </c>
      <c r="G14" s="148">
        <v>20</v>
      </c>
      <c r="H14" s="267">
        <f>G14-E14-F14+(3*1.666)</f>
        <v>10.997999999999999</v>
      </c>
      <c r="I14" s="192">
        <v>8</v>
      </c>
      <c r="J14" s="122">
        <v>8</v>
      </c>
      <c r="K14" s="203">
        <v>8</v>
      </c>
      <c r="L14" s="280"/>
      <c r="M14" s="281"/>
      <c r="N14" s="380">
        <v>8</v>
      </c>
      <c r="O14" s="173">
        <v>8</v>
      </c>
      <c r="P14" s="173">
        <v>8</v>
      </c>
      <c r="Q14" s="173">
        <v>8</v>
      </c>
      <c r="R14" s="218" t="s">
        <v>196</v>
      </c>
      <c r="S14" s="280"/>
      <c r="T14" s="281"/>
      <c r="U14" s="371" t="s">
        <v>196</v>
      </c>
      <c r="V14" s="381"/>
      <c r="W14" s="381"/>
      <c r="X14" s="381"/>
      <c r="Y14" s="385"/>
      <c r="Z14" s="280"/>
      <c r="AA14" s="281"/>
      <c r="AB14" s="371"/>
      <c r="AC14" s="122"/>
      <c r="AD14" s="122"/>
      <c r="AE14" s="122"/>
      <c r="AF14" s="203"/>
      <c r="AG14" s="280"/>
      <c r="AH14" s="281"/>
      <c r="AI14" s="192"/>
      <c r="AJ14" s="122"/>
      <c r="AK14" s="122"/>
      <c r="AL14" s="122"/>
      <c r="AM14" s="157">
        <f t="shared" si="0"/>
        <v>176</v>
      </c>
      <c r="AN14" s="128">
        <f t="shared" si="1"/>
        <v>56</v>
      </c>
      <c r="AO14" s="130">
        <f t="shared" si="2"/>
        <v>-120</v>
      </c>
      <c r="AQ14" s="135">
        <f t="shared" si="4"/>
        <v>9</v>
      </c>
      <c r="AR14" s="108" t="str">
        <f t="shared" si="5"/>
        <v>Miloš Tacić</v>
      </c>
      <c r="AS14" s="38" t="str">
        <f t="shared" si="6"/>
        <v>Vođa smene</v>
      </c>
      <c r="AT14" s="76">
        <v>18</v>
      </c>
      <c r="AU14" s="20"/>
      <c r="AV14" s="20"/>
      <c r="AW14" s="22"/>
      <c r="AX14" s="36">
        <f t="shared" si="7"/>
        <v>0</v>
      </c>
      <c r="AY14" s="36"/>
      <c r="AZ14" s="36">
        <f t="shared" si="8"/>
        <v>0</v>
      </c>
      <c r="BA14" s="22"/>
      <c r="BB14" s="23"/>
    </row>
    <row r="15" spans="1:54" ht="15" thickBot="1" x14ac:dyDescent="0.35">
      <c r="A15" s="135">
        <v>10</v>
      </c>
      <c r="B15" s="126" t="s">
        <v>46</v>
      </c>
      <c r="C15" s="142" t="s">
        <v>43</v>
      </c>
      <c r="D15" s="142" t="s">
        <v>44</v>
      </c>
      <c r="E15" s="219">
        <v>20</v>
      </c>
      <c r="F15" s="151">
        <v>0</v>
      </c>
      <c r="G15" s="148">
        <v>20</v>
      </c>
      <c r="H15" s="267">
        <f>G15-E15-F15+(3*1.666)</f>
        <v>4.9979999999999993</v>
      </c>
      <c r="I15" s="193">
        <v>8</v>
      </c>
      <c r="J15" s="173">
        <v>8</v>
      </c>
      <c r="K15" s="378">
        <v>8</v>
      </c>
      <c r="L15" s="280"/>
      <c r="M15" s="281"/>
      <c r="N15" s="371">
        <v>8</v>
      </c>
      <c r="O15" s="122">
        <v>8</v>
      </c>
      <c r="P15" s="122"/>
      <c r="Q15" s="122"/>
      <c r="R15" s="203"/>
      <c r="S15" s="280"/>
      <c r="T15" s="281"/>
      <c r="U15" s="371"/>
      <c r="V15" s="122"/>
      <c r="W15" s="122"/>
      <c r="X15" s="122"/>
      <c r="Y15" s="203"/>
      <c r="Z15" s="280"/>
      <c r="AA15" s="281"/>
      <c r="AB15" s="371"/>
      <c r="AC15" s="122"/>
      <c r="AD15" s="122"/>
      <c r="AE15" s="122"/>
      <c r="AF15" s="203"/>
      <c r="AG15" s="280"/>
      <c r="AH15" s="281"/>
      <c r="AI15" s="373"/>
      <c r="AJ15" s="278"/>
      <c r="AK15" s="278"/>
      <c r="AL15" s="278"/>
      <c r="AM15" s="157">
        <f t="shared" si="0"/>
        <v>176</v>
      </c>
      <c r="AN15" s="128">
        <f t="shared" si="1"/>
        <v>40</v>
      </c>
      <c r="AO15" s="130">
        <f t="shared" si="2"/>
        <v>-136</v>
      </c>
      <c r="AQ15" s="135">
        <f t="shared" si="4"/>
        <v>10</v>
      </c>
      <c r="AR15" s="108" t="str">
        <f t="shared" si="5"/>
        <v>Lazar Panajotović</v>
      </c>
      <c r="AS15" s="38" t="str">
        <f t="shared" si="6"/>
        <v>Vođa smene</v>
      </c>
      <c r="AT15" s="76">
        <v>13</v>
      </c>
      <c r="AU15" s="20"/>
      <c r="AV15" s="20"/>
      <c r="AW15" s="22"/>
      <c r="AX15" s="36">
        <f t="shared" si="7"/>
        <v>0</v>
      </c>
      <c r="AY15" s="36"/>
      <c r="AZ15" s="36">
        <f t="shared" si="8"/>
        <v>0</v>
      </c>
      <c r="BA15" s="22"/>
      <c r="BB15" s="23"/>
    </row>
    <row r="16" spans="1:54" ht="15" thickBot="1" x14ac:dyDescent="0.35">
      <c r="A16" s="382">
        <v>11</v>
      </c>
      <c r="B16" s="126" t="s">
        <v>47</v>
      </c>
      <c r="C16" s="142" t="s">
        <v>48</v>
      </c>
      <c r="D16" s="142" t="s">
        <v>49</v>
      </c>
      <c r="E16" s="219">
        <v>20</v>
      </c>
      <c r="F16" s="151">
        <v>0</v>
      </c>
      <c r="G16" s="148">
        <v>20</v>
      </c>
      <c r="H16" s="267">
        <f>G16-E16-F16+(3*1.666)</f>
        <v>4.9979999999999993</v>
      </c>
      <c r="I16" s="193">
        <v>8</v>
      </c>
      <c r="J16" s="173">
        <v>8</v>
      </c>
      <c r="K16" s="203"/>
      <c r="L16" s="280"/>
      <c r="M16" s="281"/>
      <c r="N16" s="371">
        <v>8</v>
      </c>
      <c r="O16" s="122">
        <v>8</v>
      </c>
      <c r="P16" s="122"/>
      <c r="Q16" s="122"/>
      <c r="R16" s="203"/>
      <c r="S16" s="280"/>
      <c r="T16" s="281"/>
      <c r="U16" s="371"/>
      <c r="V16" s="122"/>
      <c r="W16" s="122"/>
      <c r="X16" s="122"/>
      <c r="Y16" s="203"/>
      <c r="Z16" s="280"/>
      <c r="AA16" s="281"/>
      <c r="AB16" s="371"/>
      <c r="AC16" s="122"/>
      <c r="AD16" s="122"/>
      <c r="AE16" s="122"/>
      <c r="AF16" s="203"/>
      <c r="AG16" s="280"/>
      <c r="AH16" s="281"/>
      <c r="AI16" s="192"/>
      <c r="AJ16" s="122"/>
      <c r="AK16" s="122"/>
      <c r="AL16" s="122"/>
      <c r="AM16" s="157">
        <f t="shared" si="0"/>
        <v>176</v>
      </c>
      <c r="AN16" s="128">
        <f t="shared" si="1"/>
        <v>32</v>
      </c>
      <c r="AO16" s="130">
        <f t="shared" si="2"/>
        <v>-144</v>
      </c>
      <c r="AQ16" s="135">
        <f t="shared" si="4"/>
        <v>11</v>
      </c>
      <c r="AR16" s="108" t="str">
        <f t="shared" si="5"/>
        <v>Nenad Radojević</v>
      </c>
      <c r="AS16" s="38" t="str">
        <f t="shared" si="6"/>
        <v>Viljuškarista</v>
      </c>
      <c r="AT16" s="76">
        <v>15</v>
      </c>
      <c r="AU16" s="20"/>
      <c r="AV16" s="20"/>
      <c r="AW16" s="22"/>
      <c r="AX16" s="36">
        <f t="shared" si="7"/>
        <v>0</v>
      </c>
      <c r="AY16" s="36" t="s">
        <v>50</v>
      </c>
      <c r="AZ16" s="36">
        <f t="shared" si="8"/>
        <v>0</v>
      </c>
      <c r="BA16" s="22"/>
      <c r="BB16" s="23"/>
    </row>
    <row r="17" spans="1:54" ht="15" thickBot="1" x14ac:dyDescent="0.35">
      <c r="A17" s="135">
        <v>12</v>
      </c>
      <c r="B17" s="126" t="s">
        <v>51</v>
      </c>
      <c r="C17" s="142" t="s">
        <v>48</v>
      </c>
      <c r="D17" s="142" t="s">
        <v>52</v>
      </c>
      <c r="E17" s="148">
        <v>14</v>
      </c>
      <c r="F17" s="151">
        <v>0</v>
      </c>
      <c r="G17" s="148">
        <v>20</v>
      </c>
      <c r="H17" s="267">
        <f>G17-E17-F17+(3*1.666)</f>
        <v>10.997999999999999</v>
      </c>
      <c r="I17" s="192">
        <v>8</v>
      </c>
      <c r="J17" s="122">
        <v>8</v>
      </c>
      <c r="K17" s="203">
        <v>8</v>
      </c>
      <c r="L17" s="280"/>
      <c r="M17" s="281"/>
      <c r="N17" s="371">
        <v>8</v>
      </c>
      <c r="O17" s="122">
        <v>8</v>
      </c>
      <c r="P17" s="122">
        <v>8</v>
      </c>
      <c r="Q17" s="122">
        <v>8</v>
      </c>
      <c r="R17" s="203"/>
      <c r="S17" s="280"/>
      <c r="T17" s="281"/>
      <c r="U17" s="371"/>
      <c r="V17" s="173">
        <v>8</v>
      </c>
      <c r="W17" s="173">
        <v>8</v>
      </c>
      <c r="X17" s="173"/>
      <c r="Y17" s="218"/>
      <c r="Z17" s="280"/>
      <c r="AA17" s="281"/>
      <c r="AB17" s="371"/>
      <c r="AC17" s="122"/>
      <c r="AD17" s="122"/>
      <c r="AE17" s="122"/>
      <c r="AF17" s="203"/>
      <c r="AG17" s="280"/>
      <c r="AH17" s="281"/>
      <c r="AI17" s="192"/>
      <c r="AJ17" s="122"/>
      <c r="AK17" s="122"/>
      <c r="AL17" s="122"/>
      <c r="AM17" s="157">
        <f t="shared" si="0"/>
        <v>176</v>
      </c>
      <c r="AN17" s="128">
        <f t="shared" si="1"/>
        <v>72</v>
      </c>
      <c r="AO17" s="130">
        <f t="shared" si="2"/>
        <v>-104</v>
      </c>
      <c r="AQ17" s="135">
        <f t="shared" si="4"/>
        <v>12</v>
      </c>
      <c r="AR17" s="108" t="str">
        <f t="shared" si="5"/>
        <v>Darko Perić</v>
      </c>
      <c r="AS17" s="38" t="str">
        <f t="shared" si="6"/>
        <v>Viljuškarista</v>
      </c>
      <c r="AT17" s="76">
        <v>14</v>
      </c>
      <c r="AU17" s="20"/>
      <c r="AV17" s="20"/>
      <c r="AW17" s="22"/>
      <c r="AX17" s="36">
        <f t="shared" si="7"/>
        <v>0</v>
      </c>
      <c r="AY17" s="36"/>
      <c r="AZ17" s="36">
        <f t="shared" si="8"/>
        <v>0</v>
      </c>
      <c r="BA17" s="22" t="s">
        <v>53</v>
      </c>
      <c r="BB17" s="23"/>
    </row>
    <row r="18" spans="1:54" ht="15" thickBot="1" x14ac:dyDescent="0.35">
      <c r="A18" s="382">
        <v>13</v>
      </c>
      <c r="B18" s="126" t="s">
        <v>54</v>
      </c>
      <c r="C18" s="142" t="s">
        <v>48</v>
      </c>
      <c r="D18" s="142" t="s">
        <v>52</v>
      </c>
      <c r="E18" s="219">
        <v>20</v>
      </c>
      <c r="F18" s="151">
        <v>7</v>
      </c>
      <c r="G18" s="148">
        <v>20</v>
      </c>
      <c r="H18" s="267">
        <f>G18-E18-F18+(3*1.666)</f>
        <v>-2.0020000000000007</v>
      </c>
      <c r="I18" s="193">
        <v>8</v>
      </c>
      <c r="J18" s="173">
        <v>8</v>
      </c>
      <c r="K18" s="378">
        <v>8</v>
      </c>
      <c r="L18" s="280"/>
      <c r="M18" s="281"/>
      <c r="N18" s="371">
        <v>8</v>
      </c>
      <c r="O18" s="122">
        <v>8</v>
      </c>
      <c r="P18" s="122"/>
      <c r="Q18" s="122"/>
      <c r="R18" s="203"/>
      <c r="S18" s="280"/>
      <c r="T18" s="281"/>
      <c r="U18" s="371"/>
      <c r="V18" s="122"/>
      <c r="W18" s="122"/>
      <c r="X18" s="122"/>
      <c r="Y18" s="203"/>
      <c r="Z18" s="280"/>
      <c r="AA18" s="281"/>
      <c r="AB18" s="371"/>
      <c r="AC18" s="122"/>
      <c r="AD18" s="122"/>
      <c r="AE18" s="122"/>
      <c r="AF18" s="203"/>
      <c r="AG18" s="280"/>
      <c r="AH18" s="281"/>
      <c r="AI18" s="192"/>
      <c r="AJ18" s="122"/>
      <c r="AK18" s="122"/>
      <c r="AL18" s="122"/>
      <c r="AM18" s="157">
        <f t="shared" si="0"/>
        <v>176</v>
      </c>
      <c r="AN18" s="128">
        <f t="shared" si="1"/>
        <v>40</v>
      </c>
      <c r="AO18" s="130">
        <f t="shared" si="2"/>
        <v>-136</v>
      </c>
      <c r="AQ18" s="135">
        <f t="shared" si="4"/>
        <v>13</v>
      </c>
      <c r="AR18" s="108" t="str">
        <f t="shared" si="5"/>
        <v>Željko Perić</v>
      </c>
      <c r="AS18" s="38" t="str">
        <f t="shared" si="6"/>
        <v>Viljuškarista</v>
      </c>
      <c r="AT18" s="76">
        <v>13</v>
      </c>
      <c r="AU18" s="20"/>
      <c r="AV18" s="20"/>
      <c r="AW18" s="22"/>
      <c r="AX18" s="36">
        <f t="shared" si="7"/>
        <v>0</v>
      </c>
      <c r="AY18" s="36"/>
      <c r="AZ18" s="36">
        <f t="shared" si="8"/>
        <v>0</v>
      </c>
      <c r="BA18" s="22"/>
      <c r="BB18" s="23"/>
    </row>
    <row r="19" spans="1:54" ht="15" thickBot="1" x14ac:dyDescent="0.35">
      <c r="A19" s="135">
        <v>14</v>
      </c>
      <c r="B19" s="126" t="s">
        <v>55</v>
      </c>
      <c r="C19" s="142" t="s">
        <v>56</v>
      </c>
      <c r="D19" s="142" t="s">
        <v>57</v>
      </c>
      <c r="E19" s="148">
        <v>20</v>
      </c>
      <c r="F19" s="151">
        <v>0</v>
      </c>
      <c r="G19" s="148">
        <v>20</v>
      </c>
      <c r="H19" s="267">
        <f>G19-E19-F19+(3*1.666)</f>
        <v>4.9979999999999993</v>
      </c>
      <c r="I19" s="192">
        <v>8</v>
      </c>
      <c r="J19" s="122">
        <v>8</v>
      </c>
      <c r="K19" s="203">
        <v>8</v>
      </c>
      <c r="L19" s="280"/>
      <c r="M19" s="281"/>
      <c r="N19" s="380">
        <v>8</v>
      </c>
      <c r="O19" s="173">
        <v>8</v>
      </c>
      <c r="P19" s="173">
        <v>8</v>
      </c>
      <c r="Q19" s="173">
        <v>8</v>
      </c>
      <c r="R19" s="218" t="s">
        <v>196</v>
      </c>
      <c r="S19" s="280"/>
      <c r="T19" s="281"/>
      <c r="U19" s="371" t="s">
        <v>196</v>
      </c>
      <c r="V19" s="122"/>
      <c r="W19" s="122"/>
      <c r="X19" s="122"/>
      <c r="Y19" s="203"/>
      <c r="Z19" s="280"/>
      <c r="AA19" s="281"/>
      <c r="AB19" s="371"/>
      <c r="AC19" s="122"/>
      <c r="AD19" s="122"/>
      <c r="AE19" s="122"/>
      <c r="AF19" s="203"/>
      <c r="AG19" s="280"/>
      <c r="AH19" s="281"/>
      <c r="AI19" s="192"/>
      <c r="AJ19" s="122"/>
      <c r="AK19" s="122"/>
      <c r="AL19" s="122"/>
      <c r="AM19" s="158">
        <f t="shared" si="0"/>
        <v>176</v>
      </c>
      <c r="AN19" s="128">
        <f t="shared" si="1"/>
        <v>56</v>
      </c>
      <c r="AO19" s="130">
        <f t="shared" si="2"/>
        <v>-120</v>
      </c>
      <c r="AQ19" s="135">
        <f t="shared" si="4"/>
        <v>14</v>
      </c>
      <c r="AR19" s="108" t="str">
        <f t="shared" si="5"/>
        <v>Zlatan Stojmirović</v>
      </c>
      <c r="AS19" s="38" t="str">
        <f t="shared" si="6"/>
        <v>Proizvodnja gumica</v>
      </c>
      <c r="AT19" s="76">
        <v>18</v>
      </c>
      <c r="AU19" s="22"/>
      <c r="AV19" s="22"/>
      <c r="AW19" s="22"/>
      <c r="AX19" s="36">
        <f t="shared" si="7"/>
        <v>0</v>
      </c>
      <c r="AY19" s="36" t="s">
        <v>58</v>
      </c>
      <c r="AZ19" s="36">
        <f t="shared" si="8"/>
        <v>0</v>
      </c>
      <c r="BA19" s="22" t="s">
        <v>59</v>
      </c>
      <c r="BB19" s="23"/>
    </row>
    <row r="20" spans="1:54" ht="15" thickBot="1" x14ac:dyDescent="0.35">
      <c r="A20" s="382">
        <v>15</v>
      </c>
      <c r="B20" s="126" t="s">
        <v>60</v>
      </c>
      <c r="C20" s="142" t="s">
        <v>61</v>
      </c>
      <c r="D20" s="142" t="s">
        <v>62</v>
      </c>
      <c r="E20" s="148">
        <v>18</v>
      </c>
      <c r="F20" s="151">
        <v>0</v>
      </c>
      <c r="G20" s="148">
        <v>20</v>
      </c>
      <c r="H20" s="267">
        <f>G20-E20-F20+(3*1.666)</f>
        <v>6.9979999999999993</v>
      </c>
      <c r="I20" s="193">
        <v>8</v>
      </c>
      <c r="J20" s="379">
        <v>8</v>
      </c>
      <c r="K20" s="379">
        <v>8</v>
      </c>
      <c r="L20" s="280"/>
      <c r="M20" s="281"/>
      <c r="N20" s="371">
        <v>8</v>
      </c>
      <c r="O20" s="122">
        <v>8</v>
      </c>
      <c r="P20" s="122"/>
      <c r="Q20" s="122"/>
      <c r="R20" s="203"/>
      <c r="S20" s="280"/>
      <c r="T20" s="281"/>
      <c r="U20" s="371"/>
      <c r="V20" s="122"/>
      <c r="W20" s="122"/>
      <c r="X20" s="122"/>
      <c r="Y20" s="203"/>
      <c r="Z20" s="280"/>
      <c r="AA20" s="281"/>
      <c r="AB20" s="371"/>
      <c r="AC20" s="122"/>
      <c r="AD20" s="122"/>
      <c r="AE20" s="122"/>
      <c r="AF20" s="203"/>
      <c r="AG20" s="280"/>
      <c r="AH20" s="281"/>
      <c r="AI20" s="192"/>
      <c r="AJ20" s="122"/>
      <c r="AK20" s="122"/>
      <c r="AL20" s="122"/>
      <c r="AM20" s="158">
        <f t="shared" si="0"/>
        <v>176</v>
      </c>
      <c r="AN20" s="128">
        <f t="shared" si="1"/>
        <v>40</v>
      </c>
      <c r="AO20" s="130">
        <f t="shared" si="2"/>
        <v>-136</v>
      </c>
      <c r="AQ20" s="135">
        <f t="shared" si="4"/>
        <v>15</v>
      </c>
      <c r="AR20" s="108" t="str">
        <f t="shared" si="5"/>
        <v>Miodrag Kostić</v>
      </c>
      <c r="AS20" s="38" t="str">
        <f t="shared" si="6"/>
        <v>Compact - L1</v>
      </c>
      <c r="AT20" s="76">
        <v>18</v>
      </c>
      <c r="AU20" s="22"/>
      <c r="AV20" s="20"/>
      <c r="AW20" s="22"/>
      <c r="AX20" s="36">
        <f t="shared" si="7"/>
        <v>0</v>
      </c>
      <c r="AY20" s="36" t="s">
        <v>64</v>
      </c>
      <c r="AZ20" s="36">
        <f t="shared" si="8"/>
        <v>0</v>
      </c>
      <c r="BA20" s="22"/>
      <c r="BB20" s="23"/>
    </row>
    <row r="21" spans="1:54" ht="15" thickBot="1" x14ac:dyDescent="0.35">
      <c r="A21" s="135">
        <v>16</v>
      </c>
      <c r="B21" s="126" t="s">
        <v>65</v>
      </c>
      <c r="C21" s="142" t="s">
        <v>61</v>
      </c>
      <c r="D21" s="142" t="s">
        <v>62</v>
      </c>
      <c r="E21" s="148">
        <v>16</v>
      </c>
      <c r="F21" s="151">
        <v>0</v>
      </c>
      <c r="G21" s="148">
        <v>20</v>
      </c>
      <c r="H21" s="267">
        <f>G21-E21-F21+(3*1.666)</f>
        <v>8.9979999999999993</v>
      </c>
      <c r="I21" s="192">
        <v>8</v>
      </c>
      <c r="J21" s="122">
        <v>8</v>
      </c>
      <c r="K21" s="203">
        <v>8</v>
      </c>
      <c r="L21" s="280"/>
      <c r="M21" s="281"/>
      <c r="N21" s="380">
        <v>8</v>
      </c>
      <c r="O21" s="173">
        <v>8</v>
      </c>
      <c r="P21" s="173">
        <v>8</v>
      </c>
      <c r="Q21" s="173">
        <v>8</v>
      </c>
      <c r="R21" s="218" t="s">
        <v>196</v>
      </c>
      <c r="S21" s="280"/>
      <c r="T21" s="281"/>
      <c r="U21" s="371" t="s">
        <v>196</v>
      </c>
      <c r="V21" s="122"/>
      <c r="W21" s="122"/>
      <c r="X21" s="122"/>
      <c r="Y21" s="203"/>
      <c r="Z21" s="280"/>
      <c r="AA21" s="281"/>
      <c r="AB21" s="371"/>
      <c r="AC21" s="122"/>
      <c r="AD21" s="122"/>
      <c r="AE21" s="122"/>
      <c r="AF21" s="203"/>
      <c r="AG21" s="280"/>
      <c r="AH21" s="281"/>
      <c r="AI21" s="192"/>
      <c r="AJ21" s="122"/>
      <c r="AK21" s="122"/>
      <c r="AL21" s="122"/>
      <c r="AM21" s="158">
        <f t="shared" si="0"/>
        <v>176</v>
      </c>
      <c r="AN21" s="128">
        <f t="shared" si="1"/>
        <v>56</v>
      </c>
      <c r="AO21" s="130">
        <f t="shared" si="2"/>
        <v>-120</v>
      </c>
      <c r="AQ21" s="135">
        <f t="shared" si="4"/>
        <v>16</v>
      </c>
      <c r="AR21" s="108" t="str">
        <f t="shared" si="5"/>
        <v>Bojan Mikić</v>
      </c>
      <c r="AS21" s="38" t="str">
        <f t="shared" si="6"/>
        <v>Compact - L1</v>
      </c>
      <c r="AT21" s="76">
        <v>19</v>
      </c>
      <c r="AU21" s="22"/>
      <c r="AV21" s="20"/>
      <c r="AW21" s="22"/>
      <c r="AX21" s="36">
        <f t="shared" si="7"/>
        <v>0</v>
      </c>
      <c r="AY21" s="36" t="s">
        <v>67</v>
      </c>
      <c r="AZ21" s="36">
        <v>0</v>
      </c>
      <c r="BA21" s="22"/>
      <c r="BB21" s="23"/>
    </row>
    <row r="22" spans="1:54" ht="15" thickBot="1" x14ac:dyDescent="0.35">
      <c r="A22" s="382">
        <v>17</v>
      </c>
      <c r="B22" s="126" t="s">
        <v>68</v>
      </c>
      <c r="C22" s="142" t="s">
        <v>69</v>
      </c>
      <c r="D22" s="142" t="s">
        <v>52</v>
      </c>
      <c r="E22" s="148">
        <v>17</v>
      </c>
      <c r="F22" s="151">
        <v>0</v>
      </c>
      <c r="G22" s="148">
        <v>18</v>
      </c>
      <c r="H22" s="267">
        <f>G22-E22-F22+(3*1.666)</f>
        <v>5.9979999999999993</v>
      </c>
      <c r="I22" s="192">
        <v>8</v>
      </c>
      <c r="J22" s="122">
        <v>8</v>
      </c>
      <c r="K22" s="203">
        <v>8</v>
      </c>
      <c r="L22" s="280"/>
      <c r="M22" s="281"/>
      <c r="N22" s="380">
        <v>8</v>
      </c>
      <c r="O22" s="173">
        <v>8</v>
      </c>
      <c r="P22" s="173">
        <v>8</v>
      </c>
      <c r="Q22" s="173">
        <v>8</v>
      </c>
      <c r="R22" s="218" t="s">
        <v>196</v>
      </c>
      <c r="S22" s="280"/>
      <c r="T22" s="281"/>
      <c r="U22" s="371" t="s">
        <v>196</v>
      </c>
      <c r="V22" s="122"/>
      <c r="W22" s="122"/>
      <c r="X22" s="122"/>
      <c r="Y22" s="203"/>
      <c r="Z22" s="280"/>
      <c r="AA22" s="281"/>
      <c r="AB22" s="371"/>
      <c r="AC22" s="122"/>
      <c r="AD22" s="122"/>
      <c r="AE22" s="122"/>
      <c r="AF22" s="203"/>
      <c r="AG22" s="280"/>
      <c r="AH22" s="281"/>
      <c r="AI22" s="192"/>
      <c r="AJ22" s="122"/>
      <c r="AK22" s="122"/>
      <c r="AL22" s="122"/>
      <c r="AM22" s="158">
        <f t="shared" si="0"/>
        <v>176</v>
      </c>
      <c r="AN22" s="128">
        <f t="shared" si="1"/>
        <v>56</v>
      </c>
      <c r="AO22" s="130">
        <f t="shared" si="2"/>
        <v>-120</v>
      </c>
      <c r="AQ22" s="135">
        <f t="shared" si="4"/>
        <v>17</v>
      </c>
      <c r="AR22" s="108" t="str">
        <f t="shared" si="5"/>
        <v>Miloš Miloradović</v>
      </c>
      <c r="AS22" s="38" t="str">
        <f t="shared" si="6"/>
        <v>Compact - (OBUKA)</v>
      </c>
      <c r="AT22" s="76">
        <v>18</v>
      </c>
      <c r="AU22" s="22"/>
      <c r="AV22" s="20"/>
      <c r="AW22" s="22"/>
      <c r="AX22" s="36">
        <f t="shared" si="7"/>
        <v>0</v>
      </c>
      <c r="AY22" s="36"/>
      <c r="AZ22" s="36">
        <f t="shared" ref="AZ22:AZ31" si="9">(COUNTIF(J22:AI22,"go")*8+COUNTIF(J22:AI22,"sd")*8)/8</f>
        <v>0</v>
      </c>
      <c r="BA22" s="22"/>
      <c r="BB22" s="23"/>
    </row>
    <row r="23" spans="1:54" ht="15" thickBot="1" x14ac:dyDescent="0.35">
      <c r="A23" s="135">
        <v>18</v>
      </c>
      <c r="B23" s="126" t="s">
        <v>70</v>
      </c>
      <c r="C23" s="142" t="s">
        <v>71</v>
      </c>
      <c r="D23" s="142" t="s">
        <v>72</v>
      </c>
      <c r="E23" s="219">
        <v>20</v>
      </c>
      <c r="F23" s="151">
        <v>4</v>
      </c>
      <c r="G23" s="148">
        <v>20</v>
      </c>
      <c r="H23" s="267">
        <f>G23-E23-F23+(3*1.666)</f>
        <v>0.99799999999999933</v>
      </c>
      <c r="I23" s="192">
        <v>8</v>
      </c>
      <c r="J23" s="122">
        <v>8</v>
      </c>
      <c r="K23" s="203">
        <v>8</v>
      </c>
      <c r="L23" s="280"/>
      <c r="M23" s="281"/>
      <c r="N23" s="380">
        <v>8</v>
      </c>
      <c r="O23" s="173">
        <v>8</v>
      </c>
      <c r="P23" s="173">
        <v>8</v>
      </c>
      <c r="Q23" s="173">
        <v>8</v>
      </c>
      <c r="R23" s="218" t="s">
        <v>196</v>
      </c>
      <c r="S23" s="280"/>
      <c r="T23" s="281"/>
      <c r="U23" s="371" t="s">
        <v>196</v>
      </c>
      <c r="V23" s="122"/>
      <c r="W23" s="122"/>
      <c r="X23" s="122"/>
      <c r="Y23" s="203"/>
      <c r="Z23" s="280"/>
      <c r="AA23" s="281"/>
      <c r="AB23" s="371"/>
      <c r="AC23" s="122"/>
      <c r="AD23" s="122"/>
      <c r="AE23" s="122"/>
      <c r="AF23" s="203"/>
      <c r="AG23" s="280"/>
      <c r="AH23" s="281"/>
      <c r="AI23" s="192"/>
      <c r="AJ23" s="122"/>
      <c r="AK23" s="122"/>
      <c r="AL23" s="122"/>
      <c r="AM23" s="158">
        <f t="shared" si="0"/>
        <v>176</v>
      </c>
      <c r="AN23" s="128">
        <f t="shared" si="1"/>
        <v>56</v>
      </c>
      <c r="AO23" s="130">
        <f t="shared" si="2"/>
        <v>-120</v>
      </c>
      <c r="AQ23" s="135">
        <f t="shared" si="4"/>
        <v>18</v>
      </c>
      <c r="AR23" s="108" t="str">
        <f t="shared" si="5"/>
        <v>Dragan Marković</v>
      </c>
      <c r="AS23" s="38" t="str">
        <f t="shared" si="6"/>
        <v>Universal - Demontaža mala L2</v>
      </c>
      <c r="AT23" s="76">
        <v>16</v>
      </c>
      <c r="AU23" s="22"/>
      <c r="AV23" s="20"/>
      <c r="AW23" s="22"/>
      <c r="AX23" s="36">
        <f t="shared" si="7"/>
        <v>0</v>
      </c>
      <c r="AY23" s="36"/>
      <c r="AZ23" s="36">
        <f t="shared" si="9"/>
        <v>0</v>
      </c>
      <c r="BA23" s="22" t="s">
        <v>73</v>
      </c>
      <c r="BB23" s="23"/>
    </row>
    <row r="24" spans="1:54" ht="15" thickBot="1" x14ac:dyDescent="0.35">
      <c r="A24" s="382">
        <v>19</v>
      </c>
      <c r="B24" s="126" t="s">
        <v>74</v>
      </c>
      <c r="C24" s="142" t="s">
        <v>75</v>
      </c>
      <c r="D24" s="142" t="s">
        <v>76</v>
      </c>
      <c r="E24" s="148">
        <v>17</v>
      </c>
      <c r="F24" s="151">
        <v>0</v>
      </c>
      <c r="G24" s="148">
        <v>20</v>
      </c>
      <c r="H24" s="267">
        <f>G24-E24-F24+(3*1.666)</f>
        <v>7.9979999999999993</v>
      </c>
      <c r="I24" s="192">
        <v>8</v>
      </c>
      <c r="J24" s="122">
        <v>8</v>
      </c>
      <c r="K24" s="203">
        <v>8</v>
      </c>
      <c r="L24" s="280"/>
      <c r="M24" s="281"/>
      <c r="N24" s="371">
        <v>8</v>
      </c>
      <c r="O24" s="122">
        <v>8</v>
      </c>
      <c r="P24" s="122"/>
      <c r="Q24" s="122"/>
      <c r="R24" s="203"/>
      <c r="S24" s="280"/>
      <c r="T24" s="281"/>
      <c r="U24" s="371"/>
      <c r="V24" s="122"/>
      <c r="W24" s="122"/>
      <c r="X24" s="122"/>
      <c r="Y24" s="203"/>
      <c r="Z24" s="280"/>
      <c r="AA24" s="281"/>
      <c r="AB24" s="371"/>
      <c r="AC24" s="122"/>
      <c r="AD24" s="122"/>
      <c r="AE24" s="122"/>
      <c r="AF24" s="203"/>
      <c r="AG24" s="280"/>
      <c r="AH24" s="281"/>
      <c r="AI24" s="192"/>
      <c r="AJ24" s="122"/>
      <c r="AK24" s="122"/>
      <c r="AL24" s="122"/>
      <c r="AM24" s="158">
        <f t="shared" si="0"/>
        <v>176</v>
      </c>
      <c r="AN24" s="128">
        <f t="shared" si="1"/>
        <v>40</v>
      </c>
      <c r="AO24" s="130">
        <f t="shared" si="2"/>
        <v>-136</v>
      </c>
      <c r="AQ24" s="135">
        <f t="shared" si="4"/>
        <v>19</v>
      </c>
      <c r="AR24" s="108" t="str">
        <f t="shared" si="5"/>
        <v>Predrag Maksić</v>
      </c>
      <c r="AS24" s="38" t="str">
        <f t="shared" si="6"/>
        <v>Universal - Livenje L2</v>
      </c>
      <c r="AT24" s="76">
        <v>23</v>
      </c>
      <c r="AU24" s="20"/>
      <c r="AV24" s="20"/>
      <c r="AW24" s="22"/>
      <c r="AX24" s="36">
        <f t="shared" si="7"/>
        <v>0</v>
      </c>
      <c r="AY24" s="36"/>
      <c r="AZ24" s="36">
        <f t="shared" si="9"/>
        <v>0</v>
      </c>
      <c r="BA24" s="22"/>
      <c r="BB24" s="23"/>
    </row>
    <row r="25" spans="1:54" ht="15" thickBot="1" x14ac:dyDescent="0.35">
      <c r="A25" s="135">
        <v>20</v>
      </c>
      <c r="B25" s="126" t="s">
        <v>77</v>
      </c>
      <c r="C25" s="142" t="s">
        <v>78</v>
      </c>
      <c r="D25" s="142" t="s">
        <v>57</v>
      </c>
      <c r="E25" s="148">
        <v>14</v>
      </c>
      <c r="F25" s="151">
        <v>0</v>
      </c>
      <c r="G25" s="148">
        <v>20</v>
      </c>
      <c r="H25" s="267">
        <f>G25-E25-F25+(3*1.666)</f>
        <v>10.997999999999999</v>
      </c>
      <c r="I25" s="192">
        <v>8</v>
      </c>
      <c r="J25" s="122">
        <v>8</v>
      </c>
      <c r="K25" s="203" t="s">
        <v>201</v>
      </c>
      <c r="L25" s="280"/>
      <c r="M25" s="281"/>
      <c r="N25" s="371">
        <v>8</v>
      </c>
      <c r="O25" s="122">
        <v>8</v>
      </c>
      <c r="P25" s="122">
        <v>8</v>
      </c>
      <c r="Q25" s="122">
        <v>8</v>
      </c>
      <c r="R25" s="203"/>
      <c r="S25" s="280"/>
      <c r="T25" s="281"/>
      <c r="U25" s="371"/>
      <c r="V25" s="173">
        <v>8</v>
      </c>
      <c r="W25" s="173">
        <v>8</v>
      </c>
      <c r="X25" s="173"/>
      <c r="Y25" s="218"/>
      <c r="Z25" s="280"/>
      <c r="AA25" s="281"/>
      <c r="AB25" s="371"/>
      <c r="AC25" s="122"/>
      <c r="AD25" s="122"/>
      <c r="AE25" s="122"/>
      <c r="AF25" s="203"/>
      <c r="AG25" s="280"/>
      <c r="AH25" s="281"/>
      <c r="AI25" s="192"/>
      <c r="AJ25" s="122"/>
      <c r="AK25" s="122"/>
      <c r="AL25" s="122"/>
      <c r="AM25" s="158">
        <f t="shared" si="0"/>
        <v>176</v>
      </c>
      <c r="AN25" s="128">
        <f t="shared" si="1"/>
        <v>64</v>
      </c>
      <c r="AO25" s="130">
        <f t="shared" si="2"/>
        <v>-112</v>
      </c>
      <c r="AQ25" s="135">
        <f t="shared" si="4"/>
        <v>20</v>
      </c>
      <c r="AR25" s="108" t="str">
        <f t="shared" si="5"/>
        <v>Nemanja Đorđević</v>
      </c>
      <c r="AS25" s="38" t="str">
        <f t="shared" si="6"/>
        <v>Univerzal - Demontaža, mala L2</v>
      </c>
      <c r="AT25" s="76">
        <v>14</v>
      </c>
      <c r="AU25" s="22"/>
      <c r="AV25" s="20"/>
      <c r="AW25" s="22"/>
      <c r="AX25" s="36">
        <f t="shared" si="7"/>
        <v>0</v>
      </c>
      <c r="AY25" s="36"/>
      <c r="AZ25" s="36">
        <f t="shared" si="9"/>
        <v>0</v>
      </c>
      <c r="BA25" s="22" t="s">
        <v>79</v>
      </c>
      <c r="BB25" s="23"/>
    </row>
    <row r="26" spans="1:54" ht="15" thickBot="1" x14ac:dyDescent="0.35">
      <c r="A26" s="382">
        <v>21</v>
      </c>
      <c r="B26" s="126" t="s">
        <v>80</v>
      </c>
      <c r="C26" s="142" t="s">
        <v>81</v>
      </c>
      <c r="D26" s="142" t="s">
        <v>57</v>
      </c>
      <c r="E26" s="219">
        <v>20</v>
      </c>
      <c r="F26" s="151">
        <v>0</v>
      </c>
      <c r="G26" s="148">
        <v>20</v>
      </c>
      <c r="H26" s="267">
        <f>G26-E26-F26+(3*1.666)</f>
        <v>4.9979999999999993</v>
      </c>
      <c r="I26" s="192">
        <v>8</v>
      </c>
      <c r="J26" s="122">
        <v>8</v>
      </c>
      <c r="K26" s="203">
        <v>8</v>
      </c>
      <c r="L26" s="280"/>
      <c r="M26" s="281"/>
      <c r="N26" s="371">
        <v>8</v>
      </c>
      <c r="O26" s="122">
        <v>8</v>
      </c>
      <c r="P26" s="122">
        <v>8</v>
      </c>
      <c r="Q26" s="122">
        <v>8</v>
      </c>
      <c r="R26" s="203"/>
      <c r="S26" s="280"/>
      <c r="T26" s="281"/>
      <c r="U26" s="371"/>
      <c r="V26" s="173">
        <v>8</v>
      </c>
      <c r="W26" s="173">
        <v>8</v>
      </c>
      <c r="X26" s="173"/>
      <c r="Y26" s="218"/>
      <c r="Z26" s="280"/>
      <c r="AA26" s="281"/>
      <c r="AB26" s="371"/>
      <c r="AC26" s="122"/>
      <c r="AD26" s="122"/>
      <c r="AE26" s="122"/>
      <c r="AF26" s="203"/>
      <c r="AG26" s="280"/>
      <c r="AH26" s="281"/>
      <c r="AI26" s="192"/>
      <c r="AJ26" s="122"/>
      <c r="AK26" s="122"/>
      <c r="AL26" s="122"/>
      <c r="AM26" s="158">
        <f t="shared" si="0"/>
        <v>176</v>
      </c>
      <c r="AN26" s="128">
        <f t="shared" si="1"/>
        <v>72</v>
      </c>
      <c r="AO26" s="130">
        <f t="shared" si="2"/>
        <v>-104</v>
      </c>
      <c r="AQ26" s="135">
        <f t="shared" si="4"/>
        <v>21</v>
      </c>
      <c r="AR26" s="108" t="str">
        <f t="shared" si="5"/>
        <v>Željko Ranković</v>
      </c>
      <c r="AS26" s="38" t="str">
        <f t="shared" si="6"/>
        <v>Universal - Demontaža Mala L2</v>
      </c>
      <c r="AT26" s="76">
        <v>15</v>
      </c>
      <c r="AU26" s="22"/>
      <c r="AV26" s="20"/>
      <c r="AW26" s="22"/>
      <c r="AX26" s="36">
        <f t="shared" si="7"/>
        <v>0</v>
      </c>
      <c r="AY26" s="36"/>
      <c r="AZ26" s="36">
        <f t="shared" si="9"/>
        <v>0</v>
      </c>
      <c r="BA26" s="22"/>
      <c r="BB26" s="23"/>
    </row>
    <row r="27" spans="1:54" ht="15" thickBot="1" x14ac:dyDescent="0.35">
      <c r="A27" s="135">
        <v>22</v>
      </c>
      <c r="B27" s="126" t="s">
        <v>82</v>
      </c>
      <c r="C27" s="142" t="s">
        <v>81</v>
      </c>
      <c r="D27" s="142" t="s">
        <v>57</v>
      </c>
      <c r="E27" s="148">
        <v>17</v>
      </c>
      <c r="F27" s="151">
        <v>0</v>
      </c>
      <c r="G27" s="148">
        <v>20</v>
      </c>
      <c r="H27" s="267">
        <f>G27-E27-F27+(3*1.666)</f>
        <v>7.9979999999999993</v>
      </c>
      <c r="I27" s="193">
        <v>8</v>
      </c>
      <c r="J27" s="173">
        <v>8</v>
      </c>
      <c r="K27" s="378">
        <v>8</v>
      </c>
      <c r="L27" s="280"/>
      <c r="M27" s="281"/>
      <c r="N27" s="371">
        <v>8</v>
      </c>
      <c r="O27" s="122">
        <v>8</v>
      </c>
      <c r="P27" s="122"/>
      <c r="Q27" s="122"/>
      <c r="R27" s="203"/>
      <c r="S27" s="280"/>
      <c r="T27" s="281"/>
      <c r="U27" s="371"/>
      <c r="V27" s="122"/>
      <c r="W27" s="122"/>
      <c r="X27" s="122"/>
      <c r="Y27" s="203"/>
      <c r="Z27" s="280"/>
      <c r="AA27" s="281"/>
      <c r="AB27" s="371"/>
      <c r="AC27" s="122"/>
      <c r="AD27" s="122"/>
      <c r="AE27" s="122"/>
      <c r="AF27" s="203"/>
      <c r="AG27" s="280"/>
      <c r="AH27" s="281"/>
      <c r="AI27" s="192"/>
      <c r="AJ27" s="122"/>
      <c r="AK27" s="122"/>
      <c r="AL27" s="122"/>
      <c r="AM27" s="158">
        <f t="shared" si="0"/>
        <v>176</v>
      </c>
      <c r="AN27" s="128">
        <f t="shared" si="1"/>
        <v>40</v>
      </c>
      <c r="AO27" s="130">
        <f t="shared" si="2"/>
        <v>-136</v>
      </c>
      <c r="AQ27" s="135">
        <f t="shared" si="4"/>
        <v>22</v>
      </c>
      <c r="AR27" s="108" t="str">
        <f t="shared" si="5"/>
        <v>Aleksandar Đorđević</v>
      </c>
      <c r="AS27" s="38" t="str">
        <f t="shared" si="6"/>
        <v>Universal - Demontaža Mala L2</v>
      </c>
      <c r="AT27" s="76">
        <v>13</v>
      </c>
      <c r="AU27" s="22"/>
      <c r="AV27" s="20"/>
      <c r="AW27" s="22"/>
      <c r="AX27" s="36">
        <f t="shared" si="7"/>
        <v>0</v>
      </c>
      <c r="AY27" s="36"/>
      <c r="AZ27" s="36">
        <f t="shared" si="9"/>
        <v>0</v>
      </c>
      <c r="BA27" s="22"/>
      <c r="BB27" s="23"/>
    </row>
    <row r="28" spans="1:54" ht="15" thickBot="1" x14ac:dyDescent="0.35">
      <c r="A28" s="382">
        <v>23</v>
      </c>
      <c r="B28" s="126" t="s">
        <v>83</v>
      </c>
      <c r="C28" s="142" t="s">
        <v>84</v>
      </c>
      <c r="D28" s="142" t="s">
        <v>57</v>
      </c>
      <c r="E28" s="219">
        <v>20</v>
      </c>
      <c r="F28" s="151">
        <v>2</v>
      </c>
      <c r="G28" s="148">
        <v>20</v>
      </c>
      <c r="H28" s="267">
        <f>G28-E28-F28+(3*1.666)</f>
        <v>2.9979999999999993</v>
      </c>
      <c r="I28" s="193">
        <v>8</v>
      </c>
      <c r="J28" s="173">
        <v>8</v>
      </c>
      <c r="K28" s="378">
        <v>8</v>
      </c>
      <c r="L28" s="280"/>
      <c r="M28" s="281"/>
      <c r="N28" s="371">
        <v>8</v>
      </c>
      <c r="O28" s="122">
        <v>8</v>
      </c>
      <c r="P28" s="122"/>
      <c r="Q28" s="122"/>
      <c r="R28" s="203"/>
      <c r="S28" s="280"/>
      <c r="T28" s="281"/>
      <c r="U28" s="371"/>
      <c r="V28" s="122"/>
      <c r="W28" s="122"/>
      <c r="X28" s="122"/>
      <c r="Y28" s="203"/>
      <c r="Z28" s="280"/>
      <c r="AA28" s="281"/>
      <c r="AB28" s="371"/>
      <c r="AC28" s="122"/>
      <c r="AD28" s="122"/>
      <c r="AE28" s="122"/>
      <c r="AF28" s="203"/>
      <c r="AG28" s="280"/>
      <c r="AH28" s="281"/>
      <c r="AI28" s="192"/>
      <c r="AJ28" s="122"/>
      <c r="AK28" s="122"/>
      <c r="AL28" s="122"/>
      <c r="AM28" s="158">
        <f t="shared" si="0"/>
        <v>176</v>
      </c>
      <c r="AN28" s="128">
        <f t="shared" si="1"/>
        <v>40</v>
      </c>
      <c r="AO28" s="130">
        <f t="shared" si="2"/>
        <v>-136</v>
      </c>
      <c r="AQ28" s="135">
        <f t="shared" si="4"/>
        <v>23</v>
      </c>
      <c r="AR28" s="108" t="str">
        <f t="shared" si="5"/>
        <v>Draško Stojadinović</v>
      </c>
      <c r="AS28" s="38" t="str">
        <f t="shared" si="6"/>
        <v>Universal - Demontaža Velika L2</v>
      </c>
      <c r="AT28" s="76">
        <v>13</v>
      </c>
      <c r="AU28" s="22"/>
      <c r="AV28" s="20"/>
      <c r="AW28" s="22"/>
      <c r="AX28" s="36">
        <f t="shared" si="7"/>
        <v>0</v>
      </c>
      <c r="AY28" s="36"/>
      <c r="AZ28" s="36">
        <f t="shared" si="9"/>
        <v>0</v>
      </c>
      <c r="BA28" s="22"/>
      <c r="BB28" s="23"/>
    </row>
    <row r="29" spans="1:54" ht="15" thickBot="1" x14ac:dyDescent="0.35">
      <c r="A29" s="135">
        <v>24</v>
      </c>
      <c r="B29" s="126" t="s">
        <v>85</v>
      </c>
      <c r="C29" s="142" t="s">
        <v>86</v>
      </c>
      <c r="D29" s="142" t="s">
        <v>87</v>
      </c>
      <c r="E29" s="220">
        <v>27</v>
      </c>
      <c r="F29" s="151">
        <v>4</v>
      </c>
      <c r="G29" s="148">
        <v>20</v>
      </c>
      <c r="H29" s="267">
        <f>G29-E29-F29+(3*1.666)</f>
        <v>-6.0020000000000007</v>
      </c>
      <c r="I29" s="192">
        <v>8</v>
      </c>
      <c r="J29" s="122">
        <v>8</v>
      </c>
      <c r="K29" s="203">
        <v>8</v>
      </c>
      <c r="L29" s="280"/>
      <c r="M29" s="281"/>
      <c r="N29" s="371">
        <v>8</v>
      </c>
      <c r="O29" s="122">
        <v>8</v>
      </c>
      <c r="P29" s="122"/>
      <c r="Q29" s="122"/>
      <c r="R29" s="203"/>
      <c r="S29" s="280"/>
      <c r="T29" s="281"/>
      <c r="U29" s="371"/>
      <c r="V29" s="122"/>
      <c r="W29" s="122"/>
      <c r="X29" s="122"/>
      <c r="Y29" s="203"/>
      <c r="Z29" s="280"/>
      <c r="AA29" s="281"/>
      <c r="AB29" s="371"/>
      <c r="AC29" s="122"/>
      <c r="AD29" s="122"/>
      <c r="AE29" s="122"/>
      <c r="AF29" s="203"/>
      <c r="AG29" s="280"/>
      <c r="AH29" s="281"/>
      <c r="AI29" s="192"/>
      <c r="AJ29" s="122"/>
      <c r="AK29" s="122"/>
      <c r="AL29" s="122"/>
      <c r="AM29" s="159">
        <f t="shared" si="0"/>
        <v>176</v>
      </c>
      <c r="AN29" s="128">
        <f t="shared" si="1"/>
        <v>40</v>
      </c>
      <c r="AO29" s="130">
        <f t="shared" si="2"/>
        <v>-136</v>
      </c>
      <c r="AQ29" s="135">
        <f t="shared" si="4"/>
        <v>24</v>
      </c>
      <c r="AR29" s="108" t="str">
        <f t="shared" si="5"/>
        <v>Mladen Simić</v>
      </c>
      <c r="AS29" s="38" t="str">
        <f t="shared" si="6"/>
        <v>Rodicut - Demontaža L3</v>
      </c>
      <c r="AT29" s="76">
        <v>23</v>
      </c>
      <c r="AU29" s="22"/>
      <c r="AV29" s="22"/>
      <c r="AW29" s="22"/>
      <c r="AX29" s="36">
        <f t="shared" si="7"/>
        <v>0</v>
      </c>
      <c r="AY29" s="36"/>
      <c r="AZ29" s="36">
        <f t="shared" si="9"/>
        <v>0</v>
      </c>
      <c r="BA29" s="22"/>
      <c r="BB29" s="23"/>
    </row>
    <row r="30" spans="1:54" ht="15" thickBot="1" x14ac:dyDescent="0.35">
      <c r="A30" s="382">
        <v>25</v>
      </c>
      <c r="B30" s="126" t="s">
        <v>88</v>
      </c>
      <c r="C30" s="142" t="s">
        <v>89</v>
      </c>
      <c r="D30" s="142" t="s">
        <v>90</v>
      </c>
      <c r="E30" s="219">
        <v>20</v>
      </c>
      <c r="F30" s="151">
        <v>0</v>
      </c>
      <c r="G30" s="148">
        <v>20</v>
      </c>
      <c r="H30" s="267">
        <f>G30-E30-F30+(3*1.666)</f>
        <v>4.9979999999999993</v>
      </c>
      <c r="I30" s="192">
        <v>8</v>
      </c>
      <c r="J30" s="122">
        <v>8</v>
      </c>
      <c r="K30" s="203">
        <v>8</v>
      </c>
      <c r="L30" s="280"/>
      <c r="M30" s="281"/>
      <c r="N30" s="380">
        <v>8</v>
      </c>
      <c r="O30" s="173">
        <v>8</v>
      </c>
      <c r="P30" s="173">
        <v>8</v>
      </c>
      <c r="Q30" s="173">
        <v>8</v>
      </c>
      <c r="R30" s="218" t="s">
        <v>196</v>
      </c>
      <c r="S30" s="280"/>
      <c r="T30" s="281"/>
      <c r="U30" s="371" t="s">
        <v>196</v>
      </c>
      <c r="V30" s="122"/>
      <c r="W30" s="122"/>
      <c r="X30" s="122"/>
      <c r="Y30" s="203"/>
      <c r="Z30" s="280"/>
      <c r="AA30" s="281"/>
      <c r="AB30" s="371"/>
      <c r="AC30" s="122"/>
      <c r="AD30" s="122"/>
      <c r="AE30" s="122"/>
      <c r="AF30" s="203"/>
      <c r="AG30" s="280"/>
      <c r="AH30" s="281"/>
      <c r="AI30" s="192"/>
      <c r="AJ30" s="122"/>
      <c r="AK30" s="122"/>
      <c r="AL30" s="122"/>
      <c r="AM30" s="159">
        <f t="shared" si="0"/>
        <v>176</v>
      </c>
      <c r="AN30" s="128">
        <f t="shared" si="1"/>
        <v>56</v>
      </c>
      <c r="AO30" s="130">
        <f t="shared" si="2"/>
        <v>-120</v>
      </c>
      <c r="AQ30" s="135">
        <f t="shared" si="4"/>
        <v>25</v>
      </c>
      <c r="AR30" s="108" t="str">
        <f t="shared" si="5"/>
        <v>Ivan Aćimović</v>
      </c>
      <c r="AS30" s="38" t="str">
        <f t="shared" si="6"/>
        <v>Strug 1</v>
      </c>
      <c r="AT30" s="76">
        <v>15</v>
      </c>
      <c r="AU30" s="22"/>
      <c r="AV30" s="20"/>
      <c r="AW30" s="22"/>
      <c r="AX30" s="36">
        <f t="shared" si="7"/>
        <v>0</v>
      </c>
      <c r="AY30" s="36"/>
      <c r="AZ30" s="36">
        <f t="shared" si="9"/>
        <v>0</v>
      </c>
      <c r="BA30" s="22"/>
      <c r="BB30" s="23"/>
    </row>
    <row r="31" spans="1:54" ht="15" thickBot="1" x14ac:dyDescent="0.35">
      <c r="A31" s="135">
        <v>26</v>
      </c>
      <c r="B31" s="126" t="s">
        <v>91</v>
      </c>
      <c r="C31" s="142" t="s">
        <v>86</v>
      </c>
      <c r="D31" s="142" t="s">
        <v>87</v>
      </c>
      <c r="E31" s="220">
        <v>12</v>
      </c>
      <c r="F31" s="151">
        <v>4</v>
      </c>
      <c r="G31" s="148">
        <v>10</v>
      </c>
      <c r="H31" s="267">
        <f>G31-E31-F31+(3*1.666)</f>
        <v>-1.0020000000000007</v>
      </c>
      <c r="I31" s="192">
        <v>8</v>
      </c>
      <c r="J31" s="122">
        <v>8</v>
      </c>
      <c r="K31" s="203">
        <v>8</v>
      </c>
      <c r="L31" s="280"/>
      <c r="M31" s="281"/>
      <c r="N31" s="371">
        <v>8</v>
      </c>
      <c r="O31" s="122">
        <v>8</v>
      </c>
      <c r="P31" s="122">
        <v>8</v>
      </c>
      <c r="Q31" s="122">
        <v>8</v>
      </c>
      <c r="R31" s="203"/>
      <c r="S31" s="280"/>
      <c r="T31" s="281"/>
      <c r="U31" s="371"/>
      <c r="V31" s="122"/>
      <c r="W31" s="122"/>
      <c r="X31" s="122"/>
      <c r="Y31" s="203"/>
      <c r="Z31" s="280"/>
      <c r="AA31" s="281"/>
      <c r="AB31" s="371"/>
      <c r="AC31" s="122"/>
      <c r="AD31" s="122"/>
      <c r="AE31" s="122"/>
      <c r="AF31" s="203"/>
      <c r="AG31" s="280"/>
      <c r="AH31" s="281"/>
      <c r="AI31" s="192"/>
      <c r="AJ31" s="122"/>
      <c r="AK31" s="122"/>
      <c r="AL31" s="122"/>
      <c r="AM31" s="159">
        <f t="shared" si="0"/>
        <v>176</v>
      </c>
      <c r="AN31" s="128">
        <f t="shared" si="1"/>
        <v>56</v>
      </c>
      <c r="AO31" s="130">
        <f t="shared" si="2"/>
        <v>-120</v>
      </c>
      <c r="AQ31" s="135">
        <f t="shared" si="4"/>
        <v>26</v>
      </c>
      <c r="AR31" s="108" t="str">
        <f t="shared" si="5"/>
        <v>David Zivic</v>
      </c>
      <c r="AS31" s="38" t="str">
        <f t="shared" si="6"/>
        <v>Rodicut - Demontaža L3</v>
      </c>
      <c r="AT31" s="76">
        <v>23</v>
      </c>
      <c r="AU31" s="22"/>
      <c r="AV31" s="20"/>
      <c r="AW31" s="22"/>
      <c r="AX31" s="36">
        <f t="shared" si="7"/>
        <v>0</v>
      </c>
      <c r="AY31" s="36"/>
      <c r="AZ31" s="36">
        <f t="shared" si="9"/>
        <v>0</v>
      </c>
      <c r="BA31" s="22"/>
      <c r="BB31" s="23"/>
    </row>
    <row r="32" spans="1:54" ht="15" thickBot="1" x14ac:dyDescent="0.35">
      <c r="A32" s="382">
        <v>27</v>
      </c>
      <c r="B32" s="126" t="s">
        <v>92</v>
      </c>
      <c r="C32" s="142" t="s">
        <v>86</v>
      </c>
      <c r="D32" s="142" t="s">
        <v>87</v>
      </c>
      <c r="E32" s="148">
        <v>18</v>
      </c>
      <c r="F32" s="151">
        <v>0</v>
      </c>
      <c r="G32" s="148">
        <v>20</v>
      </c>
      <c r="H32" s="267">
        <f>G32-E32-F32+(3*1.666)</f>
        <v>6.9979999999999993</v>
      </c>
      <c r="I32" s="192">
        <v>8</v>
      </c>
      <c r="J32" s="122">
        <v>8</v>
      </c>
      <c r="K32" s="203">
        <v>8</v>
      </c>
      <c r="L32" s="280"/>
      <c r="M32" s="281"/>
      <c r="N32" s="371">
        <v>8</v>
      </c>
      <c r="O32" s="122">
        <v>8</v>
      </c>
      <c r="P32" s="122">
        <v>8</v>
      </c>
      <c r="Q32" s="122">
        <v>8</v>
      </c>
      <c r="R32" s="203"/>
      <c r="S32" s="280"/>
      <c r="T32" s="281"/>
      <c r="U32" s="371"/>
      <c r="V32" s="122"/>
      <c r="W32" s="122"/>
      <c r="X32" s="122"/>
      <c r="Y32" s="203"/>
      <c r="Z32" s="280"/>
      <c r="AA32" s="281"/>
      <c r="AB32" s="371"/>
      <c r="AC32" s="122"/>
      <c r="AD32" s="122"/>
      <c r="AE32" s="122"/>
      <c r="AF32" s="203"/>
      <c r="AG32" s="280"/>
      <c r="AH32" s="281"/>
      <c r="AI32" s="192"/>
      <c r="AJ32" s="122"/>
      <c r="AK32" s="122"/>
      <c r="AL32" s="122"/>
      <c r="AM32" s="159">
        <f t="shared" si="0"/>
        <v>176</v>
      </c>
      <c r="AN32" s="128">
        <f t="shared" si="1"/>
        <v>56</v>
      </c>
      <c r="AO32" s="130">
        <f t="shared" si="2"/>
        <v>-120</v>
      </c>
      <c r="AQ32" s="135">
        <f t="shared" si="4"/>
        <v>27</v>
      </c>
      <c r="AR32" s="108" t="str">
        <f t="shared" si="5"/>
        <v>Dejan Jović</v>
      </c>
      <c r="AS32" s="38" t="str">
        <f t="shared" si="6"/>
        <v>Rodicut - Demontaža L3</v>
      </c>
      <c r="AT32" s="76">
        <v>14</v>
      </c>
      <c r="AU32" s="20"/>
      <c r="AV32" s="20"/>
      <c r="AW32" s="22"/>
      <c r="AX32" s="36">
        <f t="shared" si="7"/>
        <v>0</v>
      </c>
      <c r="AY32" s="36"/>
      <c r="AZ32" s="36">
        <v>4</v>
      </c>
      <c r="BA32" s="22" t="s">
        <v>33</v>
      </c>
      <c r="BB32" s="23"/>
    </row>
    <row r="33" spans="1:54" ht="15" thickBot="1" x14ac:dyDescent="0.35">
      <c r="A33" s="135">
        <v>28</v>
      </c>
      <c r="B33" s="126" t="s">
        <v>93</v>
      </c>
      <c r="C33" s="142" t="s">
        <v>94</v>
      </c>
      <c r="D33" s="142" t="s">
        <v>62</v>
      </c>
      <c r="E33" s="219">
        <v>20</v>
      </c>
      <c r="F33" s="151">
        <v>1</v>
      </c>
      <c r="G33" s="148">
        <v>20</v>
      </c>
      <c r="H33" s="267">
        <f>G33-E33-F33+(3*1.666)</f>
        <v>3.9979999999999993</v>
      </c>
      <c r="I33" s="192">
        <v>8</v>
      </c>
      <c r="J33" s="122">
        <v>8</v>
      </c>
      <c r="K33" s="203">
        <v>8</v>
      </c>
      <c r="L33" s="280"/>
      <c r="M33" s="281"/>
      <c r="N33" s="371">
        <v>8</v>
      </c>
      <c r="O33" s="122">
        <v>8</v>
      </c>
      <c r="P33" s="122">
        <v>8</v>
      </c>
      <c r="Q33" s="122">
        <v>8</v>
      </c>
      <c r="R33" s="203"/>
      <c r="S33" s="280"/>
      <c r="T33" s="281"/>
      <c r="U33" s="371"/>
      <c r="V33" s="122"/>
      <c r="W33" s="122"/>
      <c r="X33" s="122"/>
      <c r="Y33" s="203"/>
      <c r="Z33" s="280"/>
      <c r="AA33" s="281"/>
      <c r="AB33" s="371"/>
      <c r="AC33" s="122"/>
      <c r="AD33" s="122"/>
      <c r="AE33" s="122"/>
      <c r="AF33" s="203"/>
      <c r="AG33" s="280"/>
      <c r="AH33" s="281"/>
      <c r="AI33" s="192"/>
      <c r="AJ33" s="122"/>
      <c r="AK33" s="122"/>
      <c r="AL33" s="122"/>
      <c r="AM33" s="160">
        <f t="shared" si="0"/>
        <v>176</v>
      </c>
      <c r="AN33" s="128">
        <f t="shared" si="1"/>
        <v>56</v>
      </c>
      <c r="AO33" s="130">
        <f t="shared" si="2"/>
        <v>-120</v>
      </c>
      <c r="AQ33" s="135">
        <f t="shared" si="4"/>
        <v>28</v>
      </c>
      <c r="AR33" s="108" t="str">
        <f t="shared" si="5"/>
        <v>Aleksandar Milošević</v>
      </c>
      <c r="AS33" s="38" t="str">
        <f t="shared" si="6"/>
        <v>Livenje L4</v>
      </c>
      <c r="AT33" s="76">
        <v>8</v>
      </c>
      <c r="AU33" s="20"/>
      <c r="AV33" s="20"/>
      <c r="AW33" s="22"/>
      <c r="AX33" s="36">
        <f t="shared" si="7"/>
        <v>0</v>
      </c>
      <c r="AY33" s="36" t="s">
        <v>95</v>
      </c>
      <c r="AZ33" s="36">
        <f>(COUNTIF(J33:AI33,"go")*8+COUNTIF(J33:AI33,"sd")*8)/8</f>
        <v>0</v>
      </c>
      <c r="BA33" s="22" t="s">
        <v>96</v>
      </c>
      <c r="BB33" s="23"/>
    </row>
    <row r="34" spans="1:54" ht="15" thickBot="1" x14ac:dyDescent="0.35">
      <c r="A34" s="382">
        <v>29</v>
      </c>
      <c r="B34" s="126" t="s">
        <v>97</v>
      </c>
      <c r="C34" s="142" t="s">
        <v>98</v>
      </c>
      <c r="D34" s="142" t="s">
        <v>99</v>
      </c>
      <c r="E34" s="219">
        <v>20</v>
      </c>
      <c r="F34" s="151">
        <v>1</v>
      </c>
      <c r="G34" s="148">
        <v>20</v>
      </c>
      <c r="H34" s="267">
        <f>G34-E34-F34+(3*1.666)</f>
        <v>3.9979999999999993</v>
      </c>
      <c r="I34" s="192">
        <v>8</v>
      </c>
      <c r="J34" s="122">
        <v>8</v>
      </c>
      <c r="K34" s="203">
        <v>8</v>
      </c>
      <c r="L34" s="280"/>
      <c r="M34" s="281"/>
      <c r="N34" s="371">
        <v>8</v>
      </c>
      <c r="O34" s="122">
        <v>8</v>
      </c>
      <c r="P34" s="122">
        <v>8</v>
      </c>
      <c r="Q34" s="122">
        <v>8</v>
      </c>
      <c r="R34" s="203"/>
      <c r="S34" s="280"/>
      <c r="T34" s="281"/>
      <c r="U34" s="371"/>
      <c r="V34" s="122"/>
      <c r="W34" s="122"/>
      <c r="X34" s="122"/>
      <c r="Y34" s="203"/>
      <c r="Z34" s="280"/>
      <c r="AA34" s="281"/>
      <c r="AB34" s="371"/>
      <c r="AC34" s="122"/>
      <c r="AD34" s="122"/>
      <c r="AE34" s="122"/>
      <c r="AF34" s="203"/>
      <c r="AG34" s="280"/>
      <c r="AH34" s="281"/>
      <c r="AI34" s="192"/>
      <c r="AJ34" s="122"/>
      <c r="AK34" s="122"/>
      <c r="AL34" s="122"/>
      <c r="AM34" s="160">
        <f t="shared" si="0"/>
        <v>176</v>
      </c>
      <c r="AN34" s="128">
        <f t="shared" si="1"/>
        <v>56</v>
      </c>
      <c r="AO34" s="130">
        <f t="shared" si="2"/>
        <v>-120</v>
      </c>
      <c r="AQ34" s="135">
        <f t="shared" si="4"/>
        <v>29</v>
      </c>
      <c r="AR34" s="108" t="str">
        <f t="shared" si="5"/>
        <v>Darko Golubović</v>
      </c>
      <c r="AS34" s="38" t="str">
        <f t="shared" si="6"/>
        <v>Demontaža L4</v>
      </c>
      <c r="AT34" s="76">
        <v>23</v>
      </c>
      <c r="AU34" s="20"/>
      <c r="AV34" s="20"/>
      <c r="AW34" s="22"/>
      <c r="AX34" s="36">
        <f t="shared" si="7"/>
        <v>0</v>
      </c>
      <c r="AY34" s="36"/>
      <c r="AZ34" s="36">
        <f>(COUNTIF(J34:AI34,"go")*8+COUNTIF(J34:AI34,"sd")*8)/8</f>
        <v>0</v>
      </c>
      <c r="BA34" s="22"/>
      <c r="BB34" s="23"/>
    </row>
    <row r="35" spans="1:54" ht="15" thickBot="1" x14ac:dyDescent="0.35">
      <c r="A35" s="135">
        <v>30</v>
      </c>
      <c r="B35" s="126" t="s">
        <v>100</v>
      </c>
      <c r="C35" s="142" t="s">
        <v>101</v>
      </c>
      <c r="D35" s="142" t="s">
        <v>90</v>
      </c>
      <c r="E35" s="220">
        <v>21</v>
      </c>
      <c r="F35" s="151">
        <v>5</v>
      </c>
      <c r="G35" s="148">
        <v>20</v>
      </c>
      <c r="H35" s="267">
        <f>G35-E35-F35+(3*1.666)</f>
        <v>-1.0020000000000007</v>
      </c>
      <c r="I35" s="192">
        <v>8</v>
      </c>
      <c r="J35" s="122">
        <v>8</v>
      </c>
      <c r="K35" s="203">
        <v>8</v>
      </c>
      <c r="L35" s="280"/>
      <c r="M35" s="281"/>
      <c r="N35" s="371" t="s">
        <v>110</v>
      </c>
      <c r="O35" s="122" t="s">
        <v>110</v>
      </c>
      <c r="P35" s="122" t="s">
        <v>110</v>
      </c>
      <c r="Q35" s="122" t="s">
        <v>110</v>
      </c>
      <c r="R35" s="203" t="s">
        <v>196</v>
      </c>
      <c r="S35" s="280"/>
      <c r="T35" s="281"/>
      <c r="U35" s="371" t="s">
        <v>196</v>
      </c>
      <c r="V35" s="122" t="s">
        <v>110</v>
      </c>
      <c r="W35" s="122" t="s">
        <v>110</v>
      </c>
      <c r="X35" s="122" t="s">
        <v>110</v>
      </c>
      <c r="Y35" s="203" t="s">
        <v>110</v>
      </c>
      <c r="Z35" s="280"/>
      <c r="AA35" s="281"/>
      <c r="AB35" s="371"/>
      <c r="AC35" s="122"/>
      <c r="AD35" s="122"/>
      <c r="AE35" s="122"/>
      <c r="AF35" s="203"/>
      <c r="AG35" s="280"/>
      <c r="AH35" s="281"/>
      <c r="AI35" s="192"/>
      <c r="AJ35" s="122"/>
      <c r="AK35" s="122"/>
      <c r="AL35" s="122"/>
      <c r="AM35" s="160">
        <f t="shared" si="0"/>
        <v>176</v>
      </c>
      <c r="AN35" s="128">
        <f t="shared" si="1"/>
        <v>24</v>
      </c>
      <c r="AO35" s="130">
        <f t="shared" si="2"/>
        <v>-152</v>
      </c>
      <c r="AQ35" s="135">
        <f t="shared" si="4"/>
        <v>30</v>
      </c>
      <c r="AR35" s="108" t="str">
        <f t="shared" si="5"/>
        <v>Darko Životić</v>
      </c>
      <c r="AS35" s="38" t="str">
        <f t="shared" si="6"/>
        <v>Aurora L4 - strug</v>
      </c>
      <c r="AT35" s="76">
        <v>14</v>
      </c>
      <c r="AU35" s="20"/>
      <c r="AV35" s="20"/>
      <c r="AW35" s="22"/>
      <c r="AX35" s="36">
        <f t="shared" si="7"/>
        <v>8</v>
      </c>
      <c r="AY35" s="36"/>
      <c r="AZ35" s="36">
        <f>(COUNTIF(J35:AI35,"go")*8+COUNTIF(J35:AI35,"sd")*8)/8</f>
        <v>0</v>
      </c>
      <c r="BA35" s="22" t="s">
        <v>53</v>
      </c>
      <c r="BB35" s="23"/>
    </row>
    <row r="36" spans="1:54" ht="15" thickBot="1" x14ac:dyDescent="0.35">
      <c r="A36" s="382">
        <v>31</v>
      </c>
      <c r="B36" s="126" t="s">
        <v>102</v>
      </c>
      <c r="C36" s="142" t="s">
        <v>103</v>
      </c>
      <c r="D36" s="142" t="s">
        <v>104</v>
      </c>
      <c r="E36" s="219">
        <v>20</v>
      </c>
      <c r="F36" s="151">
        <v>1</v>
      </c>
      <c r="G36" s="148">
        <v>20</v>
      </c>
      <c r="H36" s="267">
        <f>G36-E36-F36+(3*1.666)</f>
        <v>3.9979999999999993</v>
      </c>
      <c r="I36" s="192">
        <v>8</v>
      </c>
      <c r="J36" s="122">
        <v>8</v>
      </c>
      <c r="K36" s="203">
        <v>8</v>
      </c>
      <c r="L36" s="280"/>
      <c r="M36" s="281"/>
      <c r="N36" s="371">
        <v>8</v>
      </c>
      <c r="O36" s="122">
        <v>8</v>
      </c>
      <c r="P36" s="122">
        <v>8</v>
      </c>
      <c r="Q36" s="122">
        <v>8</v>
      </c>
      <c r="R36" s="203"/>
      <c r="S36" s="280"/>
      <c r="T36" s="281"/>
      <c r="U36" s="371"/>
      <c r="V36" s="122"/>
      <c r="W36" s="122"/>
      <c r="X36" s="122"/>
      <c r="Y36" s="203"/>
      <c r="Z36" s="280"/>
      <c r="AA36" s="281"/>
      <c r="AB36" s="371"/>
      <c r="AC36" s="122"/>
      <c r="AD36" s="122"/>
      <c r="AE36" s="122"/>
      <c r="AF36" s="203"/>
      <c r="AG36" s="280"/>
      <c r="AH36" s="281"/>
      <c r="AI36" s="192"/>
      <c r="AJ36" s="122"/>
      <c r="AK36" s="122"/>
      <c r="AL36" s="122"/>
      <c r="AM36" s="160">
        <f t="shared" si="0"/>
        <v>176</v>
      </c>
      <c r="AN36" s="128">
        <f t="shared" si="1"/>
        <v>56</v>
      </c>
      <c r="AO36" s="130">
        <f t="shared" si="2"/>
        <v>-120</v>
      </c>
      <c r="AQ36" s="135">
        <f t="shared" si="4"/>
        <v>31</v>
      </c>
      <c r="AR36" s="108" t="str">
        <f t="shared" si="5"/>
        <v>Dragana Gvozdić</v>
      </c>
      <c r="AS36" s="38" t="str">
        <f t="shared" si="6"/>
        <v>Aurora L4</v>
      </c>
      <c r="AT36" s="76">
        <v>19</v>
      </c>
      <c r="AU36" s="20"/>
      <c r="AV36" s="20"/>
      <c r="AW36" s="22"/>
      <c r="AX36" s="36">
        <f t="shared" si="7"/>
        <v>0</v>
      </c>
      <c r="AY36" s="36" t="s">
        <v>105</v>
      </c>
      <c r="AZ36" s="36">
        <f>(COUNTIF(J36:AI36,"go")*8+COUNTIF(J36:AI36,"sd")*8)/8</f>
        <v>0</v>
      </c>
      <c r="BA36" s="22" t="s">
        <v>106</v>
      </c>
      <c r="BB36" s="23"/>
    </row>
    <row r="37" spans="1:54" ht="15" thickBot="1" x14ac:dyDescent="0.35">
      <c r="A37" s="135">
        <v>32</v>
      </c>
      <c r="B37" s="126" t="s">
        <v>107</v>
      </c>
      <c r="C37" s="142" t="s">
        <v>108</v>
      </c>
      <c r="D37" s="142" t="s">
        <v>90</v>
      </c>
      <c r="E37" s="148">
        <v>13</v>
      </c>
      <c r="F37" s="151">
        <v>0</v>
      </c>
      <c r="G37" s="148">
        <v>20</v>
      </c>
      <c r="H37" s="267">
        <f>G37-E37-F37+(3*1.666)</f>
        <v>11.997999999999999</v>
      </c>
      <c r="I37" s="192">
        <v>8</v>
      </c>
      <c r="J37" s="122">
        <v>8</v>
      </c>
      <c r="K37" s="203">
        <v>8</v>
      </c>
      <c r="L37" s="280">
        <v>5</v>
      </c>
      <c r="M37" s="281"/>
      <c r="N37" s="371">
        <v>8</v>
      </c>
      <c r="O37" s="122">
        <v>8</v>
      </c>
      <c r="P37" s="122">
        <v>8</v>
      </c>
      <c r="Q37" s="122">
        <v>8</v>
      </c>
      <c r="R37" s="203"/>
      <c r="S37" s="280"/>
      <c r="T37" s="281"/>
      <c r="U37" s="371"/>
      <c r="V37" s="173">
        <v>8</v>
      </c>
      <c r="W37" s="173">
        <v>8</v>
      </c>
      <c r="X37" s="173"/>
      <c r="Y37" s="218"/>
      <c r="Z37" s="280"/>
      <c r="AA37" s="281"/>
      <c r="AB37" s="371"/>
      <c r="AC37" s="122"/>
      <c r="AD37" s="122"/>
      <c r="AE37" s="122"/>
      <c r="AF37" s="203"/>
      <c r="AG37" s="280"/>
      <c r="AH37" s="281"/>
      <c r="AI37" s="192"/>
      <c r="AJ37" s="122"/>
      <c r="AK37" s="122"/>
      <c r="AL37" s="122"/>
      <c r="AM37" s="158">
        <f t="shared" si="0"/>
        <v>176</v>
      </c>
      <c r="AN37" s="128">
        <f t="shared" si="1"/>
        <v>77</v>
      </c>
      <c r="AO37" s="130">
        <f t="shared" si="2"/>
        <v>-99</v>
      </c>
      <c r="AQ37" s="135">
        <f t="shared" si="4"/>
        <v>32</v>
      </c>
      <c r="AR37" s="108" t="str">
        <f t="shared" si="5"/>
        <v>Dragan Ivić</v>
      </c>
      <c r="AS37" s="38" t="str">
        <f t="shared" si="6"/>
        <v>Strug 2</v>
      </c>
      <c r="AT37" s="76">
        <v>16</v>
      </c>
      <c r="AU37" s="20"/>
      <c r="AV37" s="20"/>
      <c r="AW37" s="22"/>
      <c r="AX37" s="36">
        <f t="shared" si="7"/>
        <v>0</v>
      </c>
      <c r="AY37" s="39"/>
      <c r="AZ37" s="36">
        <v>0</v>
      </c>
      <c r="BA37" s="22"/>
      <c r="BB37" s="23"/>
    </row>
    <row r="38" spans="1:54" ht="15" thickBot="1" x14ac:dyDescent="0.35">
      <c r="A38" s="382">
        <v>33</v>
      </c>
      <c r="B38" s="126" t="s">
        <v>116</v>
      </c>
      <c r="C38" s="142" t="s">
        <v>117</v>
      </c>
      <c r="D38" s="142" t="s">
        <v>118</v>
      </c>
      <c r="E38" s="148">
        <v>19</v>
      </c>
      <c r="F38" s="151">
        <v>0</v>
      </c>
      <c r="G38" s="148">
        <v>20</v>
      </c>
      <c r="H38" s="267">
        <f>G38-E38-F38+(3*1.666)</f>
        <v>5.9979999999999993</v>
      </c>
      <c r="I38" s="192">
        <v>8</v>
      </c>
      <c r="J38" s="122">
        <v>8</v>
      </c>
      <c r="K38" s="203">
        <v>8</v>
      </c>
      <c r="L38" s="280"/>
      <c r="M38" s="281"/>
      <c r="N38" s="371">
        <v>8</v>
      </c>
      <c r="O38" s="122">
        <v>8</v>
      </c>
      <c r="P38" s="122"/>
      <c r="Q38" s="122"/>
      <c r="R38" s="203"/>
      <c r="S38" s="280"/>
      <c r="T38" s="281"/>
      <c r="U38" s="371"/>
      <c r="V38" s="122"/>
      <c r="W38" s="122"/>
      <c r="X38" s="122"/>
      <c r="Y38" s="203"/>
      <c r="Z38" s="280"/>
      <c r="AA38" s="281"/>
      <c r="AB38" s="371"/>
      <c r="AC38" s="122"/>
      <c r="AD38" s="122"/>
      <c r="AE38" s="122"/>
      <c r="AF38" s="203"/>
      <c r="AG38" s="280"/>
      <c r="AH38" s="281"/>
      <c r="AI38" s="192"/>
      <c r="AJ38" s="122"/>
      <c r="AK38" s="122"/>
      <c r="AL38" s="122"/>
      <c r="AM38" s="158">
        <f t="shared" ref="AM38:AM61" si="10">22*8</f>
        <v>176</v>
      </c>
      <c r="AN38" s="128">
        <f t="shared" ref="AN38:AN61" si="11">SUM(I38:AL38)</f>
        <v>40</v>
      </c>
      <c r="AO38" s="130">
        <f t="shared" ref="AO38:AO61" si="12">AN38-AM38</f>
        <v>-136</v>
      </c>
      <c r="AQ38" s="135">
        <f t="shared" si="4"/>
        <v>33</v>
      </c>
      <c r="AR38" s="108" t="str">
        <f t="shared" si="5"/>
        <v>Stefan Mitrović</v>
      </c>
      <c r="AS38" s="38" t="str">
        <f t="shared" si="6"/>
        <v>Matiranje</v>
      </c>
      <c r="AT38" s="76">
        <v>16</v>
      </c>
      <c r="AU38" s="20"/>
      <c r="AV38" s="20"/>
      <c r="AW38" s="22"/>
      <c r="AX38" s="36">
        <f t="shared" ref="AX38:AX44" si="13">COUNTIF(J38:AI38,"bo")</f>
        <v>0</v>
      </c>
      <c r="AY38" s="36"/>
      <c r="AZ38" s="36">
        <v>2</v>
      </c>
      <c r="BA38" s="22" t="s">
        <v>119</v>
      </c>
      <c r="BB38" s="23"/>
    </row>
    <row r="39" spans="1:54" ht="15" thickBot="1" x14ac:dyDescent="0.35">
      <c r="A39" s="135">
        <v>34</v>
      </c>
      <c r="B39" s="126" t="s">
        <v>120</v>
      </c>
      <c r="C39" s="142" t="s">
        <v>121</v>
      </c>
      <c r="D39" s="142" t="s">
        <v>122</v>
      </c>
      <c r="E39" s="220">
        <v>22</v>
      </c>
      <c r="F39" s="151">
        <v>5</v>
      </c>
      <c r="G39" s="148">
        <v>20</v>
      </c>
      <c r="H39" s="267">
        <f>G39-E39-F39+(3*1.666)</f>
        <v>-2.0020000000000007</v>
      </c>
      <c r="I39" s="192">
        <v>8</v>
      </c>
      <c r="J39" s="122">
        <v>8</v>
      </c>
      <c r="K39" s="203">
        <v>8</v>
      </c>
      <c r="L39" s="280"/>
      <c r="M39" s="281"/>
      <c r="N39" s="371">
        <v>8</v>
      </c>
      <c r="O39" s="122">
        <v>8</v>
      </c>
      <c r="P39" s="122">
        <v>8</v>
      </c>
      <c r="Q39" s="122">
        <v>8</v>
      </c>
      <c r="R39" s="203"/>
      <c r="S39" s="280"/>
      <c r="T39" s="281"/>
      <c r="U39" s="371"/>
      <c r="V39" s="122"/>
      <c r="W39" s="122"/>
      <c r="X39" s="122"/>
      <c r="Y39" s="203"/>
      <c r="Z39" s="280"/>
      <c r="AA39" s="281"/>
      <c r="AB39" s="371"/>
      <c r="AC39" s="122"/>
      <c r="AD39" s="122"/>
      <c r="AE39" s="122"/>
      <c r="AF39" s="203"/>
      <c r="AG39" s="280"/>
      <c r="AH39" s="281"/>
      <c r="AI39" s="192"/>
      <c r="AJ39" s="122"/>
      <c r="AK39" s="122"/>
      <c r="AL39" s="122"/>
      <c r="AM39" s="158">
        <f t="shared" si="10"/>
        <v>176</v>
      </c>
      <c r="AN39" s="128">
        <f t="shared" si="11"/>
        <v>56</v>
      </c>
      <c r="AO39" s="130">
        <f t="shared" si="12"/>
        <v>-120</v>
      </c>
      <c r="AQ39" s="135">
        <f t="shared" si="4"/>
        <v>34</v>
      </c>
      <c r="AR39" s="108" t="str">
        <f t="shared" si="5"/>
        <v>Marijan Stanković</v>
      </c>
      <c r="AS39" s="38" t="str">
        <f t="shared" si="6"/>
        <v>Presa 2</v>
      </c>
      <c r="AT39" s="76">
        <v>23</v>
      </c>
      <c r="AU39" s="20"/>
      <c r="AV39" s="22"/>
      <c r="AW39" s="22"/>
      <c r="AX39" s="36">
        <f t="shared" si="13"/>
        <v>0</v>
      </c>
      <c r="AY39" s="36"/>
      <c r="AZ39" s="36">
        <f>(COUNTIF(J39:AI39,"go")*8+COUNTIF(J39:AI39,"sd")*8)/8</f>
        <v>0</v>
      </c>
      <c r="BA39" s="22"/>
      <c r="BB39" s="23"/>
    </row>
    <row r="40" spans="1:54" ht="15" thickBot="1" x14ac:dyDescent="0.35">
      <c r="A40" s="382">
        <v>35</v>
      </c>
      <c r="B40" s="126" t="s">
        <v>123</v>
      </c>
      <c r="C40" s="142" t="s">
        <v>124</v>
      </c>
      <c r="D40" s="142" t="s">
        <v>125</v>
      </c>
      <c r="E40" s="148">
        <v>19</v>
      </c>
      <c r="F40" s="151">
        <v>0</v>
      </c>
      <c r="G40" s="148">
        <v>20</v>
      </c>
      <c r="H40" s="267">
        <f>G40-E40-F40+(3*1.666)</f>
        <v>5.9979999999999993</v>
      </c>
      <c r="I40" s="192">
        <v>8</v>
      </c>
      <c r="J40" s="122">
        <v>8</v>
      </c>
      <c r="K40" s="203">
        <v>8</v>
      </c>
      <c r="L40" s="280"/>
      <c r="M40" s="281"/>
      <c r="N40" s="371">
        <v>8</v>
      </c>
      <c r="O40" s="122">
        <v>8</v>
      </c>
      <c r="P40" s="122">
        <v>8</v>
      </c>
      <c r="Q40" s="122">
        <v>8</v>
      </c>
      <c r="R40" s="203"/>
      <c r="S40" s="280"/>
      <c r="T40" s="281"/>
      <c r="U40" s="371"/>
      <c r="V40" s="122"/>
      <c r="W40" s="122"/>
      <c r="X40" s="122"/>
      <c r="Y40" s="203"/>
      <c r="Z40" s="280"/>
      <c r="AA40" s="281"/>
      <c r="AB40" s="371"/>
      <c r="AC40" s="122"/>
      <c r="AD40" s="122"/>
      <c r="AE40" s="122"/>
      <c r="AF40" s="203"/>
      <c r="AG40" s="280"/>
      <c r="AH40" s="281"/>
      <c r="AI40" s="192"/>
      <c r="AJ40" s="122"/>
      <c r="AK40" s="122"/>
      <c r="AL40" s="122"/>
      <c r="AM40" s="158">
        <f t="shared" si="10"/>
        <v>176</v>
      </c>
      <c r="AN40" s="128">
        <f t="shared" si="11"/>
        <v>56</v>
      </c>
      <c r="AO40" s="130">
        <f t="shared" si="12"/>
        <v>-120</v>
      </c>
      <c r="AQ40" s="135">
        <f t="shared" si="4"/>
        <v>35</v>
      </c>
      <c r="AR40" s="108" t="str">
        <f t="shared" si="5"/>
        <v>Biljana Atanacković</v>
      </c>
      <c r="AS40" s="38" t="str">
        <f t="shared" si="6"/>
        <v>Presa 2 - pakovanje</v>
      </c>
      <c r="AT40" s="76">
        <v>23</v>
      </c>
      <c r="AU40" s="20"/>
      <c r="AV40" s="22"/>
      <c r="AW40" s="22"/>
      <c r="AX40" s="36">
        <f t="shared" si="13"/>
        <v>0</v>
      </c>
      <c r="AY40" s="36"/>
      <c r="AZ40" s="36">
        <f>(COUNTIF(J40:AI40,"go")*8+COUNTIF(J40:AI40,"sd")*8)/8</f>
        <v>0</v>
      </c>
      <c r="BA40" s="22"/>
      <c r="BB40" s="23"/>
    </row>
    <row r="41" spans="1:54" ht="15" thickBot="1" x14ac:dyDescent="0.35">
      <c r="A41" s="135">
        <v>36</v>
      </c>
      <c r="B41" s="126" t="s">
        <v>126</v>
      </c>
      <c r="C41" s="142" t="s">
        <v>124</v>
      </c>
      <c r="D41" s="142" t="s">
        <v>122</v>
      </c>
      <c r="E41" s="220">
        <v>12</v>
      </c>
      <c r="F41" s="151">
        <v>4</v>
      </c>
      <c r="G41" s="148">
        <v>10</v>
      </c>
      <c r="H41" s="267">
        <f>G41-E41-F41+(3*1.666)</f>
        <v>-1.0020000000000007</v>
      </c>
      <c r="I41" s="193">
        <v>8</v>
      </c>
      <c r="J41" s="173">
        <v>8</v>
      </c>
      <c r="K41" s="378">
        <v>8</v>
      </c>
      <c r="L41" s="280"/>
      <c r="M41" s="281"/>
      <c r="N41" s="371">
        <v>8</v>
      </c>
      <c r="O41" s="122">
        <v>8</v>
      </c>
      <c r="P41" s="122">
        <v>8</v>
      </c>
      <c r="Q41" s="122" t="s">
        <v>66</v>
      </c>
      <c r="R41" s="203"/>
      <c r="S41" s="280"/>
      <c r="T41" s="281"/>
      <c r="U41" s="371"/>
      <c r="V41" s="122"/>
      <c r="W41" s="122"/>
      <c r="X41" s="122"/>
      <c r="Y41" s="203"/>
      <c r="Z41" s="280"/>
      <c r="AA41" s="281"/>
      <c r="AB41" s="371"/>
      <c r="AC41" s="122"/>
      <c r="AD41" s="122"/>
      <c r="AE41" s="122"/>
      <c r="AF41" s="203"/>
      <c r="AG41" s="280"/>
      <c r="AH41" s="281"/>
      <c r="AI41" s="192"/>
      <c r="AJ41" s="122"/>
      <c r="AK41" s="122"/>
      <c r="AL41" s="122"/>
      <c r="AM41" s="158">
        <f t="shared" si="10"/>
        <v>176</v>
      </c>
      <c r="AN41" s="128">
        <f t="shared" si="11"/>
        <v>48</v>
      </c>
      <c r="AO41" s="130">
        <f t="shared" si="12"/>
        <v>-128</v>
      </c>
      <c r="AQ41" s="135">
        <f t="shared" si="4"/>
        <v>36</v>
      </c>
      <c r="AR41" s="108" t="str">
        <f t="shared" si="5"/>
        <v>Stefan Nikolic</v>
      </c>
      <c r="AS41" s="38" t="str">
        <f t="shared" si="6"/>
        <v>Presa 2 - pakovanje</v>
      </c>
      <c r="AT41" s="76">
        <v>23</v>
      </c>
      <c r="AU41" s="20"/>
      <c r="AV41" s="22"/>
      <c r="AW41" s="22"/>
      <c r="AX41" s="36">
        <f t="shared" si="13"/>
        <v>0</v>
      </c>
      <c r="AY41" s="36"/>
      <c r="AZ41" s="36">
        <f>(COUNTIF(J41:AI41,"go")*8+COUNTIF(J41:AI41,"sd")*8)/8</f>
        <v>1</v>
      </c>
      <c r="BA41" s="22"/>
      <c r="BB41" s="23"/>
    </row>
    <row r="42" spans="1:54" ht="15" thickBot="1" x14ac:dyDescent="0.35">
      <c r="A42" s="382">
        <v>37</v>
      </c>
      <c r="B42" s="126" t="s">
        <v>127</v>
      </c>
      <c r="C42" s="142" t="s">
        <v>128</v>
      </c>
      <c r="D42" s="142" t="s">
        <v>129</v>
      </c>
      <c r="E42" s="148">
        <v>16</v>
      </c>
      <c r="F42" s="151">
        <v>0</v>
      </c>
      <c r="G42" s="148">
        <v>20</v>
      </c>
      <c r="H42" s="267">
        <f>G42-E42-F42+(3*1.666)</f>
        <v>8.9979999999999993</v>
      </c>
      <c r="I42" s="192" t="s">
        <v>110</v>
      </c>
      <c r="J42" s="122" t="s">
        <v>110</v>
      </c>
      <c r="K42" s="203" t="s">
        <v>110</v>
      </c>
      <c r="L42" s="280"/>
      <c r="M42" s="281"/>
      <c r="N42" s="371" t="s">
        <v>110</v>
      </c>
      <c r="O42" s="122" t="s">
        <v>110</v>
      </c>
      <c r="P42" s="122" t="s">
        <v>110</v>
      </c>
      <c r="Q42" s="122" t="s">
        <v>110</v>
      </c>
      <c r="R42" s="381" t="s">
        <v>196</v>
      </c>
      <c r="S42" s="280"/>
      <c r="T42" s="281"/>
      <c r="U42" s="371"/>
      <c r="V42" s="122"/>
      <c r="W42" s="122"/>
      <c r="X42" s="122"/>
      <c r="Y42" s="203"/>
      <c r="Z42" s="280"/>
      <c r="AA42" s="281"/>
      <c r="AB42" s="371"/>
      <c r="AC42" s="122"/>
      <c r="AD42" s="122"/>
      <c r="AE42" s="122"/>
      <c r="AF42" s="203"/>
      <c r="AG42" s="280"/>
      <c r="AH42" s="281"/>
      <c r="AI42" s="192"/>
      <c r="AJ42" s="122"/>
      <c r="AK42" s="122"/>
      <c r="AL42" s="122"/>
      <c r="AM42" s="158">
        <f t="shared" si="10"/>
        <v>176</v>
      </c>
      <c r="AN42" s="128">
        <f t="shared" si="11"/>
        <v>0</v>
      </c>
      <c r="AO42" s="130">
        <f t="shared" si="12"/>
        <v>-176</v>
      </c>
      <c r="AQ42" s="135">
        <f t="shared" si="4"/>
        <v>37</v>
      </c>
      <c r="AR42" s="108" t="str">
        <f t="shared" si="5"/>
        <v>Milan Savić</v>
      </c>
      <c r="AS42" s="38" t="str">
        <f t="shared" si="6"/>
        <v>Priprema mrežica</v>
      </c>
      <c r="AT42" s="76">
        <v>22</v>
      </c>
      <c r="AU42" s="20"/>
      <c r="AV42" s="22"/>
      <c r="AW42" s="22"/>
      <c r="AX42" s="36">
        <f t="shared" si="13"/>
        <v>6</v>
      </c>
      <c r="AY42" s="36"/>
      <c r="AZ42" s="36">
        <f>(COUNTIF(J42:AI42,"go")*8+COUNTIF(J42:AI42,"sd")*8)/8</f>
        <v>0</v>
      </c>
      <c r="BA42" s="22" t="s">
        <v>130</v>
      </c>
      <c r="BB42" s="23"/>
    </row>
    <row r="43" spans="1:54" ht="15" thickBot="1" x14ac:dyDescent="0.35">
      <c r="A43" s="135">
        <v>38</v>
      </c>
      <c r="B43" s="126" t="s">
        <v>131</v>
      </c>
      <c r="C43" s="142" t="s">
        <v>128</v>
      </c>
      <c r="D43" s="142" t="s">
        <v>129</v>
      </c>
      <c r="E43" s="148">
        <v>10</v>
      </c>
      <c r="F43" s="151">
        <v>0</v>
      </c>
      <c r="G43" s="148">
        <v>20</v>
      </c>
      <c r="H43" s="267">
        <f>G43-E43-F43+(3*1.666)</f>
        <v>14.997999999999999</v>
      </c>
      <c r="I43" s="192">
        <v>8</v>
      </c>
      <c r="J43" s="122">
        <v>8</v>
      </c>
      <c r="K43" s="203">
        <v>8</v>
      </c>
      <c r="L43" s="280"/>
      <c r="M43" s="281"/>
      <c r="N43" s="371">
        <v>8</v>
      </c>
      <c r="O43" s="122">
        <v>8</v>
      </c>
      <c r="P43" s="122">
        <v>8</v>
      </c>
      <c r="Q43" s="122">
        <v>8</v>
      </c>
      <c r="R43" s="203"/>
      <c r="S43" s="280"/>
      <c r="T43" s="281"/>
      <c r="U43" s="371"/>
      <c r="V43" s="122"/>
      <c r="W43" s="122"/>
      <c r="X43" s="122"/>
      <c r="Y43" s="203"/>
      <c r="Z43" s="280"/>
      <c r="AA43" s="281"/>
      <c r="AB43" s="371"/>
      <c r="AC43" s="122"/>
      <c r="AD43" s="122"/>
      <c r="AE43" s="122"/>
      <c r="AF43" s="203"/>
      <c r="AG43" s="280"/>
      <c r="AH43" s="281"/>
      <c r="AI43" s="192"/>
      <c r="AJ43" s="122"/>
      <c r="AK43" s="122"/>
      <c r="AL43" s="122"/>
      <c r="AM43" s="158">
        <f t="shared" si="10"/>
        <v>176</v>
      </c>
      <c r="AN43" s="128">
        <f t="shared" si="11"/>
        <v>56</v>
      </c>
      <c r="AO43" s="130">
        <f t="shared" si="12"/>
        <v>-120</v>
      </c>
      <c r="AQ43" s="135">
        <f t="shared" ref="AQ43:AR45" si="14">A43</f>
        <v>38</v>
      </c>
      <c r="AR43" s="108" t="str">
        <f t="shared" si="14"/>
        <v>Jovo Ivaneža</v>
      </c>
      <c r="AS43" s="38"/>
      <c r="AT43" s="76">
        <v>23</v>
      </c>
      <c r="AU43" s="22"/>
      <c r="AV43" s="22"/>
      <c r="AW43" s="22"/>
      <c r="AX43" s="36">
        <f t="shared" si="13"/>
        <v>0</v>
      </c>
      <c r="AY43" s="36"/>
      <c r="AZ43" s="36">
        <f>(COUNTIF(J43:AI43,"go")*8+COUNTIF(J43:AI43,"sd")*8)/8</f>
        <v>0</v>
      </c>
      <c r="BA43" s="22"/>
      <c r="BB43" s="23"/>
    </row>
    <row r="44" spans="1:54" ht="15" thickBot="1" x14ac:dyDescent="0.35">
      <c r="A44" s="382">
        <v>39</v>
      </c>
      <c r="B44" s="126" t="s">
        <v>132</v>
      </c>
      <c r="C44" s="143" t="s">
        <v>133</v>
      </c>
      <c r="D44" s="142" t="s">
        <v>134</v>
      </c>
      <c r="E44" s="220">
        <v>11</v>
      </c>
      <c r="F44" s="151">
        <v>4</v>
      </c>
      <c r="G44" s="148">
        <v>10</v>
      </c>
      <c r="H44" s="267">
        <f>G44-E44-F44+(3*1.666)</f>
        <v>-2.0000000000006679E-3</v>
      </c>
      <c r="I44" s="192">
        <v>8</v>
      </c>
      <c r="J44" s="122">
        <v>8</v>
      </c>
      <c r="K44" s="203">
        <v>8</v>
      </c>
      <c r="L44" s="280"/>
      <c r="M44" s="281"/>
      <c r="N44" s="371">
        <v>8</v>
      </c>
      <c r="O44" s="122">
        <v>8</v>
      </c>
      <c r="P44" s="122"/>
      <c r="Q44" s="122"/>
      <c r="R44" s="203"/>
      <c r="S44" s="280"/>
      <c r="T44" s="281"/>
      <c r="U44" s="371"/>
      <c r="V44" s="122"/>
      <c r="W44" s="122"/>
      <c r="X44" s="122"/>
      <c r="Y44" s="203"/>
      <c r="Z44" s="280"/>
      <c r="AA44" s="281"/>
      <c r="AB44" s="371"/>
      <c r="AC44" s="122"/>
      <c r="AD44" s="122"/>
      <c r="AE44" s="122"/>
      <c r="AF44" s="203"/>
      <c r="AG44" s="280"/>
      <c r="AH44" s="281"/>
      <c r="AI44" s="192"/>
      <c r="AJ44" s="122"/>
      <c r="AK44" s="122"/>
      <c r="AL44" s="122"/>
      <c r="AM44" s="158">
        <f t="shared" si="10"/>
        <v>176</v>
      </c>
      <c r="AN44" s="128">
        <f t="shared" si="11"/>
        <v>40</v>
      </c>
      <c r="AO44" s="130">
        <f t="shared" si="12"/>
        <v>-136</v>
      </c>
      <c r="AQ44" s="135">
        <f t="shared" si="14"/>
        <v>39</v>
      </c>
      <c r="AR44" s="108" t="str">
        <f t="shared" si="14"/>
        <v>Lazar Petrović</v>
      </c>
      <c r="AS44" s="38" t="str">
        <f>C44</f>
        <v xml:space="preserve">Rodicut - Livenje L3 </v>
      </c>
      <c r="AT44" s="76">
        <v>23</v>
      </c>
      <c r="AU44" s="22"/>
      <c r="AV44" s="22"/>
      <c r="AW44" s="22"/>
      <c r="AX44" s="36">
        <f t="shared" si="13"/>
        <v>0</v>
      </c>
      <c r="AY44" s="36"/>
      <c r="AZ44" s="36">
        <v>0</v>
      </c>
      <c r="BA44" s="22"/>
      <c r="BB44" s="23"/>
    </row>
    <row r="45" spans="1:54" ht="15" thickBot="1" x14ac:dyDescent="0.35">
      <c r="A45" s="135">
        <v>40</v>
      </c>
      <c r="B45" s="126" t="s">
        <v>135</v>
      </c>
      <c r="C45" s="143" t="s">
        <v>136</v>
      </c>
      <c r="D45" s="142" t="s">
        <v>134</v>
      </c>
      <c r="E45" s="219">
        <v>13</v>
      </c>
      <c r="F45" s="151">
        <v>3</v>
      </c>
      <c r="G45" s="148">
        <v>13</v>
      </c>
      <c r="H45" s="267">
        <f>G45-E45-F45+(3*1.666)</f>
        <v>1.9979999999999993</v>
      </c>
      <c r="I45" s="192">
        <v>8</v>
      </c>
      <c r="J45" s="122">
        <v>8</v>
      </c>
      <c r="K45" s="203">
        <v>8</v>
      </c>
      <c r="L45" s="280"/>
      <c r="M45" s="281"/>
      <c r="N45" s="371">
        <v>8</v>
      </c>
      <c r="O45" s="122">
        <v>8</v>
      </c>
      <c r="P45" s="122">
        <v>8</v>
      </c>
      <c r="Q45" s="122">
        <v>8</v>
      </c>
      <c r="R45" s="203"/>
      <c r="S45" s="280"/>
      <c r="T45" s="281"/>
      <c r="U45" s="371"/>
      <c r="V45" s="173">
        <v>8</v>
      </c>
      <c r="W45" s="173">
        <v>8</v>
      </c>
      <c r="X45" s="173"/>
      <c r="Y45" s="218"/>
      <c r="Z45" s="280"/>
      <c r="AA45" s="281"/>
      <c r="AB45" s="371"/>
      <c r="AC45" s="122"/>
      <c r="AD45" s="122"/>
      <c r="AE45" s="122"/>
      <c r="AF45" s="203"/>
      <c r="AG45" s="280"/>
      <c r="AH45" s="281"/>
      <c r="AI45" s="192"/>
      <c r="AJ45" s="122"/>
      <c r="AK45" s="122"/>
      <c r="AL45" s="122"/>
      <c r="AM45" s="158">
        <f t="shared" si="10"/>
        <v>176</v>
      </c>
      <c r="AN45" s="128">
        <f t="shared" si="11"/>
        <v>72</v>
      </c>
      <c r="AO45" s="130">
        <f t="shared" si="12"/>
        <v>-104</v>
      </c>
      <c r="AQ45" s="135">
        <f t="shared" si="14"/>
        <v>40</v>
      </c>
      <c r="AR45" s="108" t="str">
        <f t="shared" si="14"/>
        <v>Nenad Pantić</v>
      </c>
      <c r="AS45" s="38" t="str">
        <f>C45</f>
        <v>Compact - Demontaža</v>
      </c>
      <c r="AT45" s="76">
        <v>14</v>
      </c>
      <c r="AU45" s="20"/>
      <c r="AV45" s="20"/>
      <c r="AW45" s="22"/>
      <c r="AX45" s="36">
        <v>4</v>
      </c>
      <c r="AY45" s="36" t="s">
        <v>137</v>
      </c>
      <c r="AZ45" s="36">
        <f>(COUNTIF(J45:AI45,"go")*8+COUNTIF(J45:AI45,"sd")*8)/8</f>
        <v>0</v>
      </c>
      <c r="BA45" s="22"/>
      <c r="BB45" s="23"/>
    </row>
    <row r="46" spans="1:54" ht="15" thickBot="1" x14ac:dyDescent="0.35">
      <c r="A46" s="382">
        <v>41</v>
      </c>
      <c r="B46" s="126" t="s">
        <v>138</v>
      </c>
      <c r="C46" s="143" t="s">
        <v>136</v>
      </c>
      <c r="D46" s="142" t="s">
        <v>72</v>
      </c>
      <c r="E46" s="220">
        <v>12</v>
      </c>
      <c r="F46" s="151">
        <v>5</v>
      </c>
      <c r="G46" s="148">
        <v>8</v>
      </c>
      <c r="H46" s="267">
        <f>G46-E46-F46+(3*1.666)</f>
        <v>-4.0020000000000007</v>
      </c>
      <c r="I46" s="192">
        <v>8</v>
      </c>
      <c r="J46" s="122">
        <v>8</v>
      </c>
      <c r="K46" s="203">
        <v>8</v>
      </c>
      <c r="L46" s="280"/>
      <c r="M46" s="281"/>
      <c r="N46" s="371">
        <v>8</v>
      </c>
      <c r="O46" s="122">
        <v>8</v>
      </c>
      <c r="P46" s="122">
        <v>8</v>
      </c>
      <c r="Q46" s="122">
        <v>8</v>
      </c>
      <c r="R46" s="203"/>
      <c r="S46" s="280"/>
      <c r="T46" s="281"/>
      <c r="U46" s="371"/>
      <c r="V46" s="173">
        <v>8</v>
      </c>
      <c r="W46" s="173">
        <v>8</v>
      </c>
      <c r="X46" s="173"/>
      <c r="Y46" s="218"/>
      <c r="Z46" s="280"/>
      <c r="AA46" s="281"/>
      <c r="AB46" s="371"/>
      <c r="AC46" s="122"/>
      <c r="AD46" s="122"/>
      <c r="AE46" s="122"/>
      <c r="AF46" s="203"/>
      <c r="AG46" s="280"/>
      <c r="AH46" s="281"/>
      <c r="AI46" s="192"/>
      <c r="AJ46" s="122"/>
      <c r="AK46" s="122"/>
      <c r="AL46" s="122"/>
      <c r="AM46" s="158">
        <f t="shared" si="10"/>
        <v>176</v>
      </c>
      <c r="AN46" s="128">
        <f t="shared" si="11"/>
        <v>72</v>
      </c>
      <c r="AO46" s="130">
        <f t="shared" si="12"/>
        <v>-104</v>
      </c>
      <c r="AQ46" s="136">
        <v>53</v>
      </c>
      <c r="AR46" s="131" t="s">
        <v>138</v>
      </c>
      <c r="AS46" s="22"/>
      <c r="AT46" s="70">
        <v>14</v>
      </c>
      <c r="AU46" s="20"/>
      <c r="AV46" s="20"/>
      <c r="AW46" s="22"/>
      <c r="AX46" s="20">
        <v>6</v>
      </c>
      <c r="AY46" s="20" t="s">
        <v>139</v>
      </c>
      <c r="AZ46" s="22"/>
      <c r="BA46" s="22"/>
      <c r="BB46" s="23"/>
    </row>
    <row r="47" spans="1:54" ht="15" thickBot="1" x14ac:dyDescent="0.35">
      <c r="A47" s="135">
        <v>42</v>
      </c>
      <c r="B47" s="126" t="s">
        <v>140</v>
      </c>
      <c r="C47" s="142" t="s">
        <v>69</v>
      </c>
      <c r="D47" s="142" t="s">
        <v>72</v>
      </c>
      <c r="E47" s="148">
        <v>0</v>
      </c>
      <c r="F47" s="151">
        <v>0</v>
      </c>
      <c r="G47" s="148">
        <v>3</v>
      </c>
      <c r="H47" s="267">
        <f>G47-E47-F47+(3*1.666)</f>
        <v>7.9979999999999993</v>
      </c>
      <c r="I47" s="193" t="s">
        <v>66</v>
      </c>
      <c r="J47" s="173">
        <v>8</v>
      </c>
      <c r="K47" s="378">
        <v>8</v>
      </c>
      <c r="L47" s="280"/>
      <c r="M47" s="281"/>
      <c r="N47" s="371">
        <v>8</v>
      </c>
      <c r="O47" s="122">
        <v>8</v>
      </c>
      <c r="P47" s="122"/>
      <c r="Q47" s="122"/>
      <c r="R47" s="203"/>
      <c r="S47" s="280"/>
      <c r="T47" s="281"/>
      <c r="U47" s="371"/>
      <c r="V47" s="123"/>
      <c r="W47" s="122"/>
      <c r="X47" s="122"/>
      <c r="Y47" s="203"/>
      <c r="Z47" s="280"/>
      <c r="AA47" s="281"/>
      <c r="AB47" s="371"/>
      <c r="AC47" s="122"/>
      <c r="AD47" s="122"/>
      <c r="AE47" s="122"/>
      <c r="AF47" s="203"/>
      <c r="AG47" s="280"/>
      <c r="AH47" s="281"/>
      <c r="AI47" s="192"/>
      <c r="AJ47" s="122"/>
      <c r="AK47" s="122"/>
      <c r="AL47" s="122"/>
      <c r="AM47" s="158">
        <f t="shared" si="10"/>
        <v>176</v>
      </c>
      <c r="AN47" s="128">
        <f t="shared" si="11"/>
        <v>32</v>
      </c>
      <c r="AO47" s="130">
        <f t="shared" si="12"/>
        <v>-144</v>
      </c>
      <c r="AQ47" s="136">
        <v>56</v>
      </c>
      <c r="AR47" s="131" t="s">
        <v>140</v>
      </c>
      <c r="AS47" s="22"/>
      <c r="AT47" s="70">
        <v>10</v>
      </c>
      <c r="AU47" s="20"/>
      <c r="AV47" s="20"/>
      <c r="AW47" s="22"/>
      <c r="AX47" s="22"/>
      <c r="AY47" s="22"/>
      <c r="AZ47" s="22"/>
      <c r="BA47" s="22"/>
      <c r="BB47" s="23"/>
    </row>
    <row r="48" spans="1:54" ht="15" thickBot="1" x14ac:dyDescent="0.35">
      <c r="A48" s="382">
        <v>43</v>
      </c>
      <c r="B48" s="126" t="s">
        <v>144</v>
      </c>
      <c r="C48" s="142" t="s">
        <v>145</v>
      </c>
      <c r="D48" s="142" t="s">
        <v>72</v>
      </c>
      <c r="E48" s="219">
        <v>5</v>
      </c>
      <c r="F48" s="151">
        <v>2</v>
      </c>
      <c r="G48" s="148">
        <v>5</v>
      </c>
      <c r="H48" s="267">
        <f>G48-E48-F48+(3*1.666)</f>
        <v>2.9979999999999993</v>
      </c>
      <c r="I48" s="193">
        <v>8</v>
      </c>
      <c r="J48" s="173">
        <v>8</v>
      </c>
      <c r="K48" s="378">
        <v>8</v>
      </c>
      <c r="L48" s="280"/>
      <c r="M48" s="281"/>
      <c r="N48" s="371">
        <v>8</v>
      </c>
      <c r="O48" s="122">
        <v>8</v>
      </c>
      <c r="P48" s="122"/>
      <c r="Q48" s="122"/>
      <c r="R48" s="203"/>
      <c r="S48" s="280"/>
      <c r="T48" s="281"/>
      <c r="U48" s="371"/>
      <c r="V48" s="122"/>
      <c r="W48" s="122"/>
      <c r="X48" s="122"/>
      <c r="Y48" s="203"/>
      <c r="Z48" s="280"/>
      <c r="AA48" s="281"/>
      <c r="AB48" s="371"/>
      <c r="AC48" s="122"/>
      <c r="AD48" s="122"/>
      <c r="AE48" s="122"/>
      <c r="AF48" s="203"/>
      <c r="AG48" s="280"/>
      <c r="AH48" s="281"/>
      <c r="AI48" s="192"/>
      <c r="AJ48" s="122"/>
      <c r="AK48" s="122"/>
      <c r="AL48" s="122"/>
      <c r="AM48" s="158">
        <f t="shared" si="10"/>
        <v>176</v>
      </c>
      <c r="AN48" s="128">
        <f t="shared" si="11"/>
        <v>40</v>
      </c>
      <c r="AO48" s="130">
        <f t="shared" si="12"/>
        <v>-136</v>
      </c>
      <c r="AQ48" s="136">
        <v>59</v>
      </c>
      <c r="AR48" s="131" t="s">
        <v>144</v>
      </c>
      <c r="AS48" s="22"/>
      <c r="AT48" s="70">
        <v>18</v>
      </c>
      <c r="AU48" s="22"/>
      <c r="AV48" s="20"/>
      <c r="AW48" s="22"/>
      <c r="AX48" s="22"/>
      <c r="AY48" s="22"/>
      <c r="AZ48" s="22"/>
      <c r="BA48" s="22"/>
      <c r="BB48" s="23"/>
    </row>
    <row r="49" spans="1:54" ht="15" thickBot="1" x14ac:dyDescent="0.35">
      <c r="A49" s="135">
        <v>44</v>
      </c>
      <c r="B49" s="126" t="s">
        <v>146</v>
      </c>
      <c r="C49" s="142" t="s">
        <v>145</v>
      </c>
      <c r="D49" s="142" t="s">
        <v>57</v>
      </c>
      <c r="E49" s="219">
        <v>3</v>
      </c>
      <c r="F49" s="151">
        <v>2</v>
      </c>
      <c r="G49" s="148">
        <v>3</v>
      </c>
      <c r="H49" s="267">
        <f>G49-E49-F49+(3*1.666)</f>
        <v>2.9979999999999993</v>
      </c>
      <c r="I49" s="192">
        <v>8</v>
      </c>
      <c r="J49" s="122">
        <v>8</v>
      </c>
      <c r="K49" s="203">
        <v>8</v>
      </c>
      <c r="L49" s="280"/>
      <c r="M49" s="281"/>
      <c r="N49" s="380">
        <v>8</v>
      </c>
      <c r="O49" s="173">
        <v>8</v>
      </c>
      <c r="P49" s="173">
        <v>8</v>
      </c>
      <c r="Q49" s="173">
        <v>8</v>
      </c>
      <c r="R49" s="218" t="s">
        <v>196</v>
      </c>
      <c r="S49" s="280"/>
      <c r="T49" s="281"/>
      <c r="U49" s="371" t="s">
        <v>196</v>
      </c>
      <c r="V49" s="122"/>
      <c r="W49" s="122"/>
      <c r="X49" s="122"/>
      <c r="Y49" s="203"/>
      <c r="Z49" s="280"/>
      <c r="AA49" s="281"/>
      <c r="AB49" s="371"/>
      <c r="AC49" s="122"/>
      <c r="AD49" s="122"/>
      <c r="AE49" s="122"/>
      <c r="AF49" s="203"/>
      <c r="AG49" s="280"/>
      <c r="AH49" s="281"/>
      <c r="AI49" s="192"/>
      <c r="AJ49" s="122"/>
      <c r="AK49" s="122"/>
      <c r="AL49" s="122"/>
      <c r="AM49" s="158">
        <f t="shared" si="10"/>
        <v>176</v>
      </c>
      <c r="AN49" s="128">
        <f t="shared" si="11"/>
        <v>56</v>
      </c>
      <c r="AO49" s="130">
        <f t="shared" si="12"/>
        <v>-120</v>
      </c>
      <c r="AQ49" s="136">
        <v>60</v>
      </c>
      <c r="AR49" s="131" t="s">
        <v>146</v>
      </c>
      <c r="AS49" s="22"/>
      <c r="AT49" s="70">
        <v>5</v>
      </c>
      <c r="AU49" s="22"/>
      <c r="AV49" s="22"/>
      <c r="AW49" s="22"/>
      <c r="AX49" s="22"/>
      <c r="AY49" s="22"/>
      <c r="AZ49" s="22"/>
      <c r="BA49" s="22"/>
      <c r="BB49" s="23"/>
    </row>
    <row r="50" spans="1:54" ht="15" thickBot="1" x14ac:dyDescent="0.35">
      <c r="A50" s="382">
        <v>45</v>
      </c>
      <c r="B50" s="126" t="s">
        <v>147</v>
      </c>
      <c r="C50" s="142" t="s">
        <v>148</v>
      </c>
      <c r="D50" s="142" t="s">
        <v>122</v>
      </c>
      <c r="E50" s="219">
        <v>3</v>
      </c>
      <c r="F50" s="151">
        <v>3</v>
      </c>
      <c r="G50" s="148">
        <v>3</v>
      </c>
      <c r="H50" s="267">
        <f>G50-E50-F50+(3*1.666)</f>
        <v>1.9979999999999993</v>
      </c>
      <c r="I50" s="192">
        <v>8</v>
      </c>
      <c r="J50" s="122">
        <v>8</v>
      </c>
      <c r="K50" s="203">
        <v>8</v>
      </c>
      <c r="L50" s="280"/>
      <c r="M50" s="281"/>
      <c r="N50" s="371">
        <v>8</v>
      </c>
      <c r="O50" s="122">
        <v>8</v>
      </c>
      <c r="P50" s="122">
        <v>8</v>
      </c>
      <c r="Q50" s="122" t="s">
        <v>66</v>
      </c>
      <c r="R50" s="203"/>
      <c r="S50" s="280"/>
      <c r="T50" s="281"/>
      <c r="U50" s="371"/>
      <c r="V50" s="122"/>
      <c r="W50" s="122"/>
      <c r="X50" s="122"/>
      <c r="Y50" s="203"/>
      <c r="Z50" s="280"/>
      <c r="AA50" s="281"/>
      <c r="AB50" s="371"/>
      <c r="AC50" s="122"/>
      <c r="AD50" s="122"/>
      <c r="AE50" s="122"/>
      <c r="AF50" s="203"/>
      <c r="AG50" s="280"/>
      <c r="AH50" s="281"/>
      <c r="AI50" s="192"/>
      <c r="AJ50" s="122"/>
      <c r="AK50" s="122"/>
      <c r="AL50" s="122"/>
      <c r="AM50" s="158">
        <f t="shared" si="10"/>
        <v>176</v>
      </c>
      <c r="AN50" s="128">
        <f t="shared" si="11"/>
        <v>48</v>
      </c>
      <c r="AO50" s="130">
        <f t="shared" si="12"/>
        <v>-128</v>
      </c>
      <c r="AQ50" s="136">
        <v>61</v>
      </c>
      <c r="AR50" s="131" t="s">
        <v>147</v>
      </c>
      <c r="AS50" s="22"/>
      <c r="AT50" s="70">
        <v>5</v>
      </c>
      <c r="AU50" s="22"/>
      <c r="AV50" s="22"/>
      <c r="AW50" s="22"/>
      <c r="AX50" s="22"/>
      <c r="AY50" s="22"/>
      <c r="AZ50" s="22"/>
      <c r="BA50" s="22"/>
      <c r="BB50" s="23"/>
    </row>
    <row r="51" spans="1:54" ht="15" thickBot="1" x14ac:dyDescent="0.35">
      <c r="A51" s="135">
        <v>46</v>
      </c>
      <c r="B51" s="126" t="s">
        <v>149</v>
      </c>
      <c r="C51" s="142" t="s">
        <v>150</v>
      </c>
      <c r="D51" s="142" t="s">
        <v>90</v>
      </c>
      <c r="E51" s="219">
        <v>2</v>
      </c>
      <c r="F51" s="151">
        <v>5</v>
      </c>
      <c r="G51" s="148">
        <v>2</v>
      </c>
      <c r="H51" s="267">
        <f>G51-E51-F51+(3*1.666)</f>
        <v>-2.0000000000006679E-3</v>
      </c>
      <c r="I51" s="193">
        <v>8</v>
      </c>
      <c r="J51" s="173">
        <v>8</v>
      </c>
      <c r="K51" s="378">
        <v>8</v>
      </c>
      <c r="L51" s="280"/>
      <c r="M51" s="281"/>
      <c r="N51" s="371">
        <v>8</v>
      </c>
      <c r="O51" s="122">
        <v>8</v>
      </c>
      <c r="P51" s="122"/>
      <c r="Q51" s="122"/>
      <c r="R51" s="203"/>
      <c r="S51" s="280"/>
      <c r="T51" s="281"/>
      <c r="U51" s="371"/>
      <c r="V51" s="122"/>
      <c r="W51" s="122"/>
      <c r="X51" s="122"/>
      <c r="Y51" s="203"/>
      <c r="Z51" s="280"/>
      <c r="AA51" s="281"/>
      <c r="AB51" s="371"/>
      <c r="AC51" s="122"/>
      <c r="AD51" s="122"/>
      <c r="AE51" s="122"/>
      <c r="AF51" s="203"/>
      <c r="AG51" s="280"/>
      <c r="AH51" s="281"/>
      <c r="AI51" s="192"/>
      <c r="AJ51" s="122"/>
      <c r="AK51" s="122"/>
      <c r="AL51" s="122"/>
      <c r="AM51" s="158">
        <f t="shared" si="10"/>
        <v>176</v>
      </c>
      <c r="AN51" s="128">
        <f t="shared" si="11"/>
        <v>40</v>
      </c>
      <c r="AO51" s="130">
        <f t="shared" si="12"/>
        <v>-136</v>
      </c>
      <c r="AQ51" s="137"/>
      <c r="AR51" s="109"/>
      <c r="AS51" s="22"/>
      <c r="AT51" s="22"/>
      <c r="AU51" s="22"/>
      <c r="AV51" s="22"/>
      <c r="AW51" s="22"/>
      <c r="AX51" s="22"/>
      <c r="AY51" s="22"/>
      <c r="AZ51" s="22"/>
      <c r="BA51" s="22"/>
      <c r="BB51" s="23"/>
    </row>
    <row r="52" spans="1:54" ht="15" thickBot="1" x14ac:dyDescent="0.35">
      <c r="A52" s="382">
        <v>47</v>
      </c>
      <c r="B52" s="126" t="s">
        <v>151</v>
      </c>
      <c r="C52" s="142" t="s">
        <v>145</v>
      </c>
      <c r="D52" s="142" t="s">
        <v>72</v>
      </c>
      <c r="E52" s="220">
        <v>1</v>
      </c>
      <c r="F52" s="151">
        <v>6</v>
      </c>
      <c r="G52" s="148">
        <v>0</v>
      </c>
      <c r="H52" s="267">
        <f>G52-E52-F52+(3*1.666)</f>
        <v>-2.0020000000000007</v>
      </c>
      <c r="I52" s="192">
        <v>8</v>
      </c>
      <c r="J52" s="122">
        <v>8</v>
      </c>
      <c r="K52" s="203">
        <v>8</v>
      </c>
      <c r="L52" s="280"/>
      <c r="M52" s="281"/>
      <c r="N52" s="371">
        <v>8</v>
      </c>
      <c r="O52" s="122">
        <v>8</v>
      </c>
      <c r="P52" s="122">
        <v>8</v>
      </c>
      <c r="Q52" s="122">
        <v>8</v>
      </c>
      <c r="R52" s="203"/>
      <c r="S52" s="280"/>
      <c r="T52" s="281"/>
      <c r="U52" s="371"/>
      <c r="V52" s="173">
        <v>8</v>
      </c>
      <c r="W52" s="173">
        <v>8</v>
      </c>
      <c r="X52" s="173"/>
      <c r="Y52" s="218"/>
      <c r="Z52" s="280"/>
      <c r="AA52" s="281"/>
      <c r="AB52" s="371"/>
      <c r="AC52" s="122"/>
      <c r="AD52" s="122"/>
      <c r="AE52" s="122"/>
      <c r="AF52" s="203"/>
      <c r="AG52" s="280"/>
      <c r="AH52" s="281"/>
      <c r="AI52" s="192"/>
      <c r="AJ52" s="122"/>
      <c r="AK52" s="122"/>
      <c r="AL52" s="122"/>
      <c r="AM52" s="158">
        <f t="shared" si="10"/>
        <v>176</v>
      </c>
      <c r="AN52" s="128">
        <f t="shared" si="11"/>
        <v>72</v>
      </c>
      <c r="AO52" s="130">
        <f t="shared" si="12"/>
        <v>-104</v>
      </c>
      <c r="AQ52" s="137"/>
      <c r="AR52" s="109"/>
      <c r="AS52" s="22"/>
      <c r="AT52" s="22"/>
      <c r="AU52" s="22"/>
      <c r="AV52" s="22"/>
      <c r="AW52" s="22"/>
      <c r="AX52" s="22"/>
      <c r="AY52" s="22"/>
      <c r="AZ52" s="22"/>
      <c r="BA52" s="22"/>
      <c r="BB52" s="23"/>
    </row>
    <row r="53" spans="1:54" ht="15" thickBot="1" x14ac:dyDescent="0.35">
      <c r="A53" s="135">
        <v>48</v>
      </c>
      <c r="B53" s="126" t="s">
        <v>152</v>
      </c>
      <c r="C53" s="142" t="s">
        <v>148</v>
      </c>
      <c r="D53" s="142" t="s">
        <v>153</v>
      </c>
      <c r="E53" s="220">
        <v>1</v>
      </c>
      <c r="F53" s="151">
        <v>5</v>
      </c>
      <c r="G53" s="148">
        <v>0</v>
      </c>
      <c r="H53" s="267">
        <f>G53-E53-F53+(3*1.666)</f>
        <v>-1.0020000000000007</v>
      </c>
      <c r="I53" s="192">
        <v>8</v>
      </c>
      <c r="J53" s="122">
        <v>8</v>
      </c>
      <c r="K53" s="203">
        <v>8</v>
      </c>
      <c r="L53" s="280"/>
      <c r="M53" s="281"/>
      <c r="N53" s="371">
        <v>8</v>
      </c>
      <c r="O53" s="122">
        <v>8</v>
      </c>
      <c r="P53" s="122">
        <v>8</v>
      </c>
      <c r="Q53" s="122">
        <v>8</v>
      </c>
      <c r="R53" s="203"/>
      <c r="S53" s="280"/>
      <c r="T53" s="281"/>
      <c r="U53" s="371"/>
      <c r="V53" s="122"/>
      <c r="W53" s="122"/>
      <c r="X53" s="122"/>
      <c r="Y53" s="203"/>
      <c r="Z53" s="280"/>
      <c r="AA53" s="281"/>
      <c r="AB53" s="371"/>
      <c r="AC53" s="122"/>
      <c r="AD53" s="122"/>
      <c r="AE53" s="122"/>
      <c r="AF53" s="203"/>
      <c r="AG53" s="280"/>
      <c r="AH53" s="281"/>
      <c r="AI53" s="192"/>
      <c r="AJ53" s="122"/>
      <c r="AK53" s="122"/>
      <c r="AL53" s="122"/>
      <c r="AM53" s="158">
        <f t="shared" si="10"/>
        <v>176</v>
      </c>
      <c r="AN53" s="128">
        <f t="shared" si="11"/>
        <v>56</v>
      </c>
      <c r="AO53" s="130">
        <f t="shared" si="12"/>
        <v>-120</v>
      </c>
      <c r="AQ53" s="137"/>
      <c r="AR53" s="109"/>
      <c r="AS53" s="22"/>
      <c r="AT53" s="22"/>
      <c r="AU53" s="22"/>
      <c r="AV53" s="22"/>
      <c r="AW53" s="22"/>
      <c r="AX53" s="22"/>
      <c r="AY53" s="22"/>
      <c r="AZ53" s="22"/>
      <c r="BA53" s="22"/>
      <c r="BB53" s="23"/>
    </row>
    <row r="54" spans="1:54" ht="15" thickBot="1" x14ac:dyDescent="0.35">
      <c r="A54" s="382">
        <v>49</v>
      </c>
      <c r="B54" s="140" t="s">
        <v>154</v>
      </c>
      <c r="C54" s="144" t="s">
        <v>69</v>
      </c>
      <c r="D54" s="144" t="s">
        <v>87</v>
      </c>
      <c r="E54" s="222">
        <v>3</v>
      </c>
      <c r="F54" s="151">
        <v>10</v>
      </c>
      <c r="G54" s="148">
        <v>0</v>
      </c>
      <c r="H54" s="267">
        <f>G54-E54-F54+(3*1.666)</f>
        <v>-8.0020000000000007</v>
      </c>
      <c r="I54" s="192">
        <v>8</v>
      </c>
      <c r="J54" s="122">
        <v>8</v>
      </c>
      <c r="K54" s="203">
        <v>13</v>
      </c>
      <c r="L54" s="280"/>
      <c r="M54" s="281"/>
      <c r="N54" s="371">
        <v>8</v>
      </c>
      <c r="O54" s="122">
        <v>8</v>
      </c>
      <c r="P54" s="122">
        <v>8</v>
      </c>
      <c r="Q54" s="122">
        <v>8</v>
      </c>
      <c r="R54" s="203"/>
      <c r="S54" s="280"/>
      <c r="T54" s="281"/>
      <c r="U54" s="371"/>
      <c r="V54" s="173">
        <v>8</v>
      </c>
      <c r="W54" s="173">
        <v>8</v>
      </c>
      <c r="X54" s="173"/>
      <c r="Y54" s="218"/>
      <c r="Z54" s="280"/>
      <c r="AA54" s="281"/>
      <c r="AB54" s="371"/>
      <c r="AC54" s="122"/>
      <c r="AD54" s="122"/>
      <c r="AE54" s="122"/>
      <c r="AF54" s="203"/>
      <c r="AG54" s="280"/>
      <c r="AH54" s="281"/>
      <c r="AI54" s="192"/>
      <c r="AJ54" s="122"/>
      <c r="AK54" s="122"/>
      <c r="AL54" s="122"/>
      <c r="AM54" s="158">
        <f t="shared" si="10"/>
        <v>176</v>
      </c>
      <c r="AN54" s="128">
        <f t="shared" si="11"/>
        <v>77</v>
      </c>
      <c r="AO54" s="130">
        <f t="shared" si="12"/>
        <v>-99</v>
      </c>
      <c r="AP54" s="14"/>
      <c r="AQ54" s="138"/>
      <c r="AR54" s="132"/>
      <c r="AS54" s="71"/>
      <c r="AT54" s="74"/>
      <c r="AU54" s="71"/>
      <c r="AV54" s="71"/>
      <c r="AW54" s="71"/>
      <c r="AX54" s="71"/>
      <c r="AY54" s="71"/>
      <c r="AZ54" s="71"/>
      <c r="BA54" s="71"/>
      <c r="BB54" s="85"/>
    </row>
    <row r="55" spans="1:54" ht="15" thickBot="1" x14ac:dyDescent="0.35">
      <c r="A55" s="135">
        <v>50</v>
      </c>
      <c r="B55" s="175" t="s">
        <v>155</v>
      </c>
      <c r="C55" s="145" t="s">
        <v>61</v>
      </c>
      <c r="D55" s="145" t="s">
        <v>62</v>
      </c>
      <c r="E55" s="149">
        <v>0</v>
      </c>
      <c r="F55" s="151">
        <v>2</v>
      </c>
      <c r="G55" s="148">
        <v>0</v>
      </c>
      <c r="H55" s="267">
        <f>G55-E55-F55+(3*1.666)</f>
        <v>2.9979999999999993</v>
      </c>
      <c r="I55" s="192">
        <v>8</v>
      </c>
      <c r="J55" s="122">
        <v>3</v>
      </c>
      <c r="K55" s="203" t="s">
        <v>201</v>
      </c>
      <c r="L55" s="280"/>
      <c r="M55" s="281"/>
      <c r="N55" s="371">
        <v>8</v>
      </c>
      <c r="O55" s="122">
        <v>8</v>
      </c>
      <c r="P55" s="122">
        <v>8</v>
      </c>
      <c r="Q55" s="122">
        <v>8</v>
      </c>
      <c r="R55" s="203"/>
      <c r="S55" s="280"/>
      <c r="T55" s="281"/>
      <c r="U55" s="208"/>
      <c r="V55" s="122"/>
      <c r="W55" s="122"/>
      <c r="X55" s="122"/>
      <c r="Y55" s="203"/>
      <c r="Z55" s="280"/>
      <c r="AA55" s="281"/>
      <c r="AB55" s="208"/>
      <c r="AC55" s="171"/>
      <c r="AD55" s="122"/>
      <c r="AE55" s="122"/>
      <c r="AF55" s="203"/>
      <c r="AG55" s="280"/>
      <c r="AH55" s="281"/>
      <c r="AI55" s="208"/>
      <c r="AJ55" s="171"/>
      <c r="AK55" s="171"/>
      <c r="AL55" s="171"/>
      <c r="AM55" s="158">
        <f t="shared" si="10"/>
        <v>176</v>
      </c>
      <c r="AN55" s="128">
        <f t="shared" si="11"/>
        <v>43</v>
      </c>
      <c r="AO55" s="130">
        <f t="shared" si="12"/>
        <v>-133</v>
      </c>
      <c r="AP55" s="14"/>
      <c r="AQ55" s="138">
        <f>A55</f>
        <v>50</v>
      </c>
      <c r="AR55" s="133" t="str">
        <f>B55</f>
        <v>Aleksandar Novakov</v>
      </c>
      <c r="AS55" s="103"/>
      <c r="AT55" s="42"/>
      <c r="AU55" s="103"/>
      <c r="AV55" s="103"/>
      <c r="AW55" s="103"/>
      <c r="AX55" s="103"/>
      <c r="AY55" s="103"/>
      <c r="AZ55" s="103"/>
      <c r="BA55" s="103"/>
      <c r="BB55" s="106"/>
    </row>
    <row r="56" spans="1:54" ht="15" thickBot="1" x14ac:dyDescent="0.35">
      <c r="A56" s="382">
        <v>51</v>
      </c>
      <c r="B56" s="176" t="s">
        <v>156</v>
      </c>
      <c r="C56" s="145"/>
      <c r="D56" s="145" t="s">
        <v>157</v>
      </c>
      <c r="E56" s="149">
        <v>0</v>
      </c>
      <c r="F56" s="151">
        <v>1</v>
      </c>
      <c r="G56" s="148">
        <v>0</v>
      </c>
      <c r="H56" s="267">
        <f>G56-E56-F56+(3*1.666)</f>
        <v>3.9979999999999993</v>
      </c>
      <c r="I56" s="192">
        <v>8</v>
      </c>
      <c r="J56" s="122">
        <v>8</v>
      </c>
      <c r="K56" s="203">
        <v>8</v>
      </c>
      <c r="L56" s="280"/>
      <c r="M56" s="281"/>
      <c r="N56" s="371">
        <v>8</v>
      </c>
      <c r="O56" s="122">
        <v>8</v>
      </c>
      <c r="P56" s="122"/>
      <c r="Q56" s="122"/>
      <c r="R56" s="203"/>
      <c r="S56" s="280"/>
      <c r="T56" s="281"/>
      <c r="U56" s="371"/>
      <c r="V56" s="122"/>
      <c r="W56" s="122"/>
      <c r="X56" s="122"/>
      <c r="Y56" s="203"/>
      <c r="Z56" s="280"/>
      <c r="AA56" s="281"/>
      <c r="AB56" s="371"/>
      <c r="AC56" s="122"/>
      <c r="AD56" s="122"/>
      <c r="AE56" s="122"/>
      <c r="AF56" s="203"/>
      <c r="AG56" s="280"/>
      <c r="AH56" s="281"/>
      <c r="AI56" s="192"/>
      <c r="AJ56" s="122"/>
      <c r="AK56" s="122"/>
      <c r="AL56" s="122"/>
      <c r="AM56" s="158">
        <f t="shared" si="10"/>
        <v>176</v>
      </c>
      <c r="AN56" s="128">
        <f t="shared" si="11"/>
        <v>40</v>
      </c>
      <c r="AO56" s="130">
        <f t="shared" si="12"/>
        <v>-136</v>
      </c>
      <c r="AQ56" s="135"/>
      <c r="AR56" s="108"/>
      <c r="AS56" s="38"/>
      <c r="AT56" s="76"/>
      <c r="AU56" s="20"/>
      <c r="AV56" s="20"/>
      <c r="AW56" s="22"/>
      <c r="AX56" s="36"/>
      <c r="AY56" s="36"/>
      <c r="AZ56" s="36"/>
      <c r="BA56" s="22"/>
      <c r="BB56" s="23"/>
    </row>
    <row r="57" spans="1:54" ht="15" thickBot="1" x14ac:dyDescent="0.35">
      <c r="A57" s="135">
        <v>52</v>
      </c>
      <c r="B57" s="176" t="s">
        <v>158</v>
      </c>
      <c r="C57" s="142" t="s">
        <v>48</v>
      </c>
      <c r="D57" s="142" t="s">
        <v>49</v>
      </c>
      <c r="E57" s="149">
        <v>20</v>
      </c>
      <c r="F57" s="151">
        <v>2</v>
      </c>
      <c r="G57" s="148">
        <v>20</v>
      </c>
      <c r="H57" s="267">
        <f>G57-E57-F57+(3*1.666)</f>
        <v>2.9979999999999993</v>
      </c>
      <c r="I57" s="192">
        <v>8</v>
      </c>
      <c r="J57" s="122">
        <v>8</v>
      </c>
      <c r="K57" s="203">
        <v>8</v>
      </c>
      <c r="L57" s="280"/>
      <c r="M57" s="281"/>
      <c r="N57" s="371" t="s">
        <v>66</v>
      </c>
      <c r="O57" s="122">
        <v>8</v>
      </c>
      <c r="P57" s="122">
        <v>8</v>
      </c>
      <c r="Q57" s="122">
        <v>8</v>
      </c>
      <c r="R57" s="203"/>
      <c r="S57" s="280"/>
      <c r="T57" s="281"/>
      <c r="U57" s="371"/>
      <c r="V57" s="122"/>
      <c r="W57" s="122"/>
      <c r="X57" s="122"/>
      <c r="Y57" s="203"/>
      <c r="Z57" s="280"/>
      <c r="AA57" s="281"/>
      <c r="AB57" s="371"/>
      <c r="AC57" s="122"/>
      <c r="AD57" s="122"/>
      <c r="AE57" s="122"/>
      <c r="AF57" s="203"/>
      <c r="AG57" s="280"/>
      <c r="AH57" s="281"/>
      <c r="AI57" s="192"/>
      <c r="AJ57" s="122"/>
      <c r="AK57" s="122"/>
      <c r="AL57" s="122"/>
      <c r="AM57" s="157">
        <f t="shared" si="10"/>
        <v>176</v>
      </c>
      <c r="AN57" s="128">
        <f t="shared" si="11"/>
        <v>48</v>
      </c>
      <c r="AO57" s="130">
        <f t="shared" si="12"/>
        <v>-128</v>
      </c>
      <c r="AQ57" s="135">
        <f t="shared" ref="AQ57:AS59" si="15">A57</f>
        <v>52</v>
      </c>
      <c r="AR57" s="108" t="str">
        <f t="shared" si="15"/>
        <v>Aleksandar Perić</v>
      </c>
      <c r="AS57" s="38" t="str">
        <f t="shared" si="15"/>
        <v>Viljuškarista</v>
      </c>
      <c r="AT57" s="76">
        <v>23</v>
      </c>
      <c r="AU57" s="20"/>
      <c r="AV57" s="20"/>
      <c r="AW57" s="22"/>
      <c r="AX57" s="36">
        <f>COUNTIF(J57:AI57,"bo")</f>
        <v>0</v>
      </c>
      <c r="AY57" s="36"/>
      <c r="AZ57" s="36">
        <f>(COUNTIF(J57:AI57,"go")*8+COUNTIF(J57:AI57,"sd")*8)/8</f>
        <v>1</v>
      </c>
      <c r="BA57" s="22"/>
      <c r="BB57" s="23"/>
    </row>
    <row r="58" spans="1:54" ht="15" thickBot="1" x14ac:dyDescent="0.35">
      <c r="A58" s="382">
        <v>53</v>
      </c>
      <c r="B58" s="176" t="s">
        <v>162</v>
      </c>
      <c r="C58" s="145" t="s">
        <v>159</v>
      </c>
      <c r="D58" s="145" t="s">
        <v>160</v>
      </c>
      <c r="E58" s="149">
        <v>18</v>
      </c>
      <c r="F58" s="151">
        <v>0</v>
      </c>
      <c r="G58" s="148">
        <v>20</v>
      </c>
      <c r="H58" s="267">
        <f>G58-E58-F58+(3*1.666)</f>
        <v>6.9979999999999993</v>
      </c>
      <c r="I58" s="192">
        <v>8</v>
      </c>
      <c r="J58" s="122">
        <v>8</v>
      </c>
      <c r="K58" s="203">
        <v>8</v>
      </c>
      <c r="L58" s="280"/>
      <c r="M58" s="281"/>
      <c r="N58" s="371">
        <v>8</v>
      </c>
      <c r="O58" s="122">
        <v>8</v>
      </c>
      <c r="P58" s="122">
        <v>8</v>
      </c>
      <c r="Q58" s="122">
        <v>8</v>
      </c>
      <c r="R58" s="203"/>
      <c r="S58" s="280"/>
      <c r="T58" s="281"/>
      <c r="U58" s="371"/>
      <c r="V58" s="122"/>
      <c r="W58" s="122"/>
      <c r="X58" s="122"/>
      <c r="Y58" s="203"/>
      <c r="Z58" s="280"/>
      <c r="AA58" s="281"/>
      <c r="AB58" s="371"/>
      <c r="AC58" s="122"/>
      <c r="AD58" s="122"/>
      <c r="AE58" s="122"/>
      <c r="AF58" s="203"/>
      <c r="AG58" s="280"/>
      <c r="AH58" s="281"/>
      <c r="AI58" s="192"/>
      <c r="AJ58" s="122"/>
      <c r="AK58" s="122"/>
      <c r="AL58" s="122"/>
      <c r="AM58" s="158">
        <f t="shared" si="10"/>
        <v>176</v>
      </c>
      <c r="AN58" s="128">
        <f t="shared" si="11"/>
        <v>56</v>
      </c>
      <c r="AO58" s="130">
        <f t="shared" si="12"/>
        <v>-120</v>
      </c>
      <c r="AQ58" s="135">
        <f t="shared" si="15"/>
        <v>53</v>
      </c>
      <c r="AR58" s="108" t="str">
        <f t="shared" si="15"/>
        <v>Saša Nikolić</v>
      </c>
      <c r="AS58" s="38" t="str">
        <f t="shared" si="15"/>
        <v>Magacin</v>
      </c>
      <c r="AT58" s="76">
        <v>17</v>
      </c>
      <c r="AU58" s="22"/>
      <c r="AV58" s="20"/>
      <c r="AW58" s="22"/>
      <c r="AX58" s="36">
        <f>COUNTIF(J58:AI58,"bo")</f>
        <v>0</v>
      </c>
      <c r="AY58" s="36"/>
      <c r="AZ58" s="36">
        <f>(COUNTIF(J58:AI58,"go")*8+COUNTIF(J58:AI58,"sd")*8)/8</f>
        <v>0</v>
      </c>
      <c r="BA58" s="22" t="s">
        <v>163</v>
      </c>
      <c r="BB58" s="23"/>
    </row>
    <row r="59" spans="1:54" ht="15" thickBot="1" x14ac:dyDescent="0.35">
      <c r="A59" s="135">
        <v>54</v>
      </c>
      <c r="B59" s="176" t="s">
        <v>164</v>
      </c>
      <c r="C59" s="145" t="s">
        <v>165</v>
      </c>
      <c r="D59" s="145" t="s">
        <v>166</v>
      </c>
      <c r="E59" s="149">
        <v>13</v>
      </c>
      <c r="F59" s="151">
        <v>0</v>
      </c>
      <c r="G59" s="148">
        <v>20</v>
      </c>
      <c r="H59" s="267">
        <f>G59-E59-F59+(3*1.666)</f>
        <v>11.997999999999999</v>
      </c>
      <c r="I59" s="192">
        <v>8</v>
      </c>
      <c r="J59" s="122">
        <v>8</v>
      </c>
      <c r="K59" s="203">
        <v>8</v>
      </c>
      <c r="L59" s="280"/>
      <c r="M59" s="281"/>
      <c r="N59" s="371">
        <v>8</v>
      </c>
      <c r="O59" s="122">
        <v>8</v>
      </c>
      <c r="P59" s="122">
        <v>8</v>
      </c>
      <c r="Q59" s="122">
        <v>8</v>
      </c>
      <c r="R59" s="203"/>
      <c r="S59" s="280"/>
      <c r="T59" s="281"/>
      <c r="U59" s="371"/>
      <c r="V59" s="122"/>
      <c r="W59" s="122"/>
      <c r="X59" s="122"/>
      <c r="Y59" s="203"/>
      <c r="Z59" s="280"/>
      <c r="AA59" s="281"/>
      <c r="AB59" s="371"/>
      <c r="AC59" s="122"/>
      <c r="AD59" s="122"/>
      <c r="AE59" s="122"/>
      <c r="AF59" s="203"/>
      <c r="AG59" s="280"/>
      <c r="AH59" s="281"/>
      <c r="AI59" s="192"/>
      <c r="AJ59" s="122"/>
      <c r="AK59" s="122"/>
      <c r="AL59" s="122"/>
      <c r="AM59" s="157">
        <f t="shared" si="10"/>
        <v>176</v>
      </c>
      <c r="AN59" s="128">
        <f t="shared" si="11"/>
        <v>56</v>
      </c>
      <c r="AO59" s="130">
        <f t="shared" si="12"/>
        <v>-120</v>
      </c>
      <c r="AQ59" s="135">
        <f t="shared" si="15"/>
        <v>54</v>
      </c>
      <c r="AR59" s="108" t="str">
        <f t="shared" si="15"/>
        <v>Miloš Jevtić</v>
      </c>
      <c r="AS59" s="38" t="str">
        <f t="shared" si="15"/>
        <v>Održavanje</v>
      </c>
      <c r="AT59" s="76">
        <v>23</v>
      </c>
      <c r="AU59" s="20"/>
      <c r="AV59" s="20"/>
      <c r="AW59" s="22"/>
      <c r="AX59" s="36">
        <f>COUNTIF(J59:AI59,"bo")</f>
        <v>0</v>
      </c>
      <c r="AY59" s="36"/>
      <c r="AZ59" s="36">
        <f>(COUNTIF(J59:AI59,"go")*8+COUNTIF(J59:AI59,"sd")*8)/8</f>
        <v>0</v>
      </c>
      <c r="BA59" s="22"/>
      <c r="BB59" s="23"/>
    </row>
    <row r="60" spans="1:54" ht="15" thickBot="1" x14ac:dyDescent="0.35">
      <c r="A60" s="382">
        <v>55</v>
      </c>
      <c r="B60" s="181" t="s">
        <v>198</v>
      </c>
      <c r="C60" s="182" t="s">
        <v>159</v>
      </c>
      <c r="D60" s="182" t="s">
        <v>160</v>
      </c>
      <c r="E60" s="183">
        <v>0</v>
      </c>
      <c r="F60" s="184">
        <v>1</v>
      </c>
      <c r="G60" s="148">
        <v>0</v>
      </c>
      <c r="H60" s="267">
        <f>G60-E60-F60+(2*1.666)</f>
        <v>2.3319999999999999</v>
      </c>
      <c r="I60" s="192">
        <v>8</v>
      </c>
      <c r="J60" s="122">
        <v>8</v>
      </c>
      <c r="K60" s="203">
        <v>8</v>
      </c>
      <c r="L60" s="280"/>
      <c r="M60" s="281"/>
      <c r="N60" s="371">
        <v>8</v>
      </c>
      <c r="O60" s="122">
        <v>8</v>
      </c>
      <c r="P60" s="122">
        <v>8</v>
      </c>
      <c r="Q60" s="122">
        <v>8</v>
      </c>
      <c r="R60" s="203"/>
      <c r="S60" s="280"/>
      <c r="T60" s="281"/>
      <c r="U60" s="371"/>
      <c r="V60" s="122"/>
      <c r="W60" s="122"/>
      <c r="X60" s="122"/>
      <c r="Y60" s="203"/>
      <c r="Z60" s="280"/>
      <c r="AA60" s="281"/>
      <c r="AB60" s="371"/>
      <c r="AC60" s="122"/>
      <c r="AD60" s="122"/>
      <c r="AE60" s="122"/>
      <c r="AF60" s="203"/>
      <c r="AG60" s="280"/>
      <c r="AH60" s="281"/>
      <c r="AI60" s="192"/>
      <c r="AJ60" s="122"/>
      <c r="AK60" s="122"/>
      <c r="AL60" s="122"/>
      <c r="AM60" s="158">
        <f t="shared" si="10"/>
        <v>176</v>
      </c>
      <c r="AN60" s="128">
        <f t="shared" si="11"/>
        <v>56</v>
      </c>
      <c r="AO60" s="130">
        <f t="shared" si="12"/>
        <v>-120</v>
      </c>
      <c r="AQ60" s="135"/>
      <c r="AR60" s="108"/>
      <c r="AS60" s="38"/>
      <c r="AT60" s="76"/>
      <c r="AU60" s="20"/>
      <c r="AV60" s="20"/>
      <c r="AW60" s="22"/>
      <c r="AX60" s="36"/>
      <c r="AY60" s="36"/>
      <c r="AZ60" s="36"/>
      <c r="BA60" s="22"/>
      <c r="BB60" s="23"/>
    </row>
    <row r="61" spans="1:54" ht="15" thickBot="1" x14ac:dyDescent="0.35">
      <c r="A61" s="383">
        <v>56</v>
      </c>
      <c r="B61" s="177" t="s">
        <v>167</v>
      </c>
      <c r="C61" s="146" t="s">
        <v>165</v>
      </c>
      <c r="D61" s="146" t="s">
        <v>166</v>
      </c>
      <c r="E61" s="150">
        <v>15</v>
      </c>
      <c r="F61" s="152">
        <v>0</v>
      </c>
      <c r="G61" s="155">
        <v>20</v>
      </c>
      <c r="H61" s="386">
        <f>G61-E61-F61+(3*1.666)</f>
        <v>9.9979999999999993</v>
      </c>
      <c r="I61" s="192">
        <v>8</v>
      </c>
      <c r="J61" s="122">
        <v>8</v>
      </c>
      <c r="K61" s="203">
        <v>8</v>
      </c>
      <c r="L61" s="282"/>
      <c r="M61" s="283"/>
      <c r="N61" s="371">
        <v>8</v>
      </c>
      <c r="O61" s="122">
        <v>8</v>
      </c>
      <c r="P61" s="122">
        <v>8</v>
      </c>
      <c r="Q61" s="122">
        <v>8</v>
      </c>
      <c r="R61" s="203"/>
      <c r="S61" s="282"/>
      <c r="T61" s="283"/>
      <c r="U61" s="371"/>
      <c r="V61" s="122"/>
      <c r="W61" s="122"/>
      <c r="X61" s="122"/>
      <c r="Y61" s="203"/>
      <c r="Z61" s="282"/>
      <c r="AA61" s="283"/>
      <c r="AB61" s="371"/>
      <c r="AC61" s="122"/>
      <c r="AD61" s="122"/>
      <c r="AE61" s="122"/>
      <c r="AF61" s="203"/>
      <c r="AG61" s="282"/>
      <c r="AH61" s="283"/>
      <c r="AI61" s="192"/>
      <c r="AJ61" s="122"/>
      <c r="AK61" s="122"/>
      <c r="AL61" s="122"/>
      <c r="AM61" s="157">
        <f t="shared" si="10"/>
        <v>176</v>
      </c>
      <c r="AN61" s="128">
        <f t="shared" si="11"/>
        <v>56</v>
      </c>
      <c r="AO61" s="130">
        <f t="shared" si="12"/>
        <v>-120</v>
      </c>
      <c r="AQ61" s="135">
        <f>A61</f>
        <v>56</v>
      </c>
      <c r="AR61" s="108" t="str">
        <f>B61</f>
        <v>Draško Stokić</v>
      </c>
      <c r="AS61" s="38" t="str">
        <f>C61</f>
        <v>Održavanje</v>
      </c>
      <c r="AT61" s="76">
        <v>23</v>
      </c>
      <c r="AU61" s="74"/>
      <c r="AV61" s="22"/>
      <c r="AW61" s="22"/>
      <c r="AX61" s="36">
        <f>COUNTIF(J61:AI61,"bo")</f>
        <v>0</v>
      </c>
      <c r="AY61" s="36"/>
      <c r="AZ61" s="36">
        <f>(COUNTIF(J61:AI61,"go")*8+COUNTIF(J61:AI61,"sd")*8)/8</f>
        <v>0</v>
      </c>
      <c r="BA61" s="22"/>
      <c r="BB61" s="23"/>
    </row>
    <row r="62" spans="1:54" x14ac:dyDescent="0.3">
      <c r="E62" s="124"/>
      <c r="F62" s="124"/>
      <c r="G62" s="124"/>
      <c r="H62" s="263"/>
      <c r="I62" s="124"/>
      <c r="J62" s="124"/>
      <c r="K62" s="124"/>
      <c r="L62" s="124"/>
      <c r="M62" s="124"/>
      <c r="N62" s="124">
        <f>SUM(N6:N61)</f>
        <v>368</v>
      </c>
      <c r="O62" s="124"/>
      <c r="P62" s="124"/>
      <c r="Q62" s="124">
        <f>SUM(Q6:Q61)</f>
        <v>248</v>
      </c>
      <c r="R62" s="124">
        <f>SUM(R6:R61)</f>
        <v>0</v>
      </c>
      <c r="S62" s="124"/>
      <c r="T62" s="124"/>
      <c r="U62" s="124">
        <f>SUM(U6:U61)</f>
        <v>0</v>
      </c>
      <c r="V62" s="124">
        <f>SUM(V6:V61)</f>
        <v>72</v>
      </c>
      <c r="W62" s="124"/>
      <c r="X62" s="124">
        <f>SUM(X6:X61)</f>
        <v>0</v>
      </c>
      <c r="Y62" s="124">
        <f>SUM(Y6:Y61)</f>
        <v>0</v>
      </c>
      <c r="Z62" s="124"/>
      <c r="AA62" s="124"/>
      <c r="AB62" s="124">
        <f>SUM(AB6:AB61)</f>
        <v>0</v>
      </c>
      <c r="AC62" s="124"/>
      <c r="AD62" s="124"/>
      <c r="AE62" s="124">
        <f>SUM(AE6:AE61)</f>
        <v>0</v>
      </c>
      <c r="AF62" s="124">
        <f>SUM(AF6:AF61)</f>
        <v>0</v>
      </c>
      <c r="AG62" s="124"/>
      <c r="AH62" s="124"/>
      <c r="AI62" s="124">
        <f>SUM(AI6:AI61)</f>
        <v>0</v>
      </c>
      <c r="AJ62" s="124">
        <f>SUM(AJ6:AJ61)</f>
        <v>0</v>
      </c>
      <c r="AK62" s="124">
        <f>SUM(AK6:AK61)</f>
        <v>0</v>
      </c>
      <c r="AL62" s="124">
        <f>SUM(AL6:AL61)</f>
        <v>0</v>
      </c>
    </row>
    <row r="63" spans="1:54" x14ac:dyDescent="0.3">
      <c r="E63" s="124"/>
      <c r="F63" s="124"/>
      <c r="G63" s="124"/>
      <c r="H63" s="263"/>
      <c r="I63" s="124"/>
      <c r="J63" s="124"/>
      <c r="K63" s="124"/>
      <c r="L63" s="124"/>
      <c r="M63" s="124"/>
      <c r="N63" s="124"/>
      <c r="O63" s="124">
        <f>SUM(O6:O61)</f>
        <v>376</v>
      </c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>
        <f>SUM(AI6:AI61)</f>
        <v>0</v>
      </c>
      <c r="AJ63" s="124"/>
      <c r="AK63" s="124"/>
      <c r="AL63" s="124"/>
    </row>
    <row r="64" spans="1:54" x14ac:dyDescent="0.3">
      <c r="A64" s="53"/>
      <c r="B64" s="17"/>
      <c r="C64" s="17"/>
      <c r="D64" s="17"/>
      <c r="E64" s="16"/>
      <c r="F64" s="125"/>
      <c r="G64" s="16"/>
      <c r="H64" s="264"/>
      <c r="I64" s="45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>
        <f>SUM(T6:T54)</f>
        <v>0</v>
      </c>
      <c r="U64" s="16">
        <f>SUM(U6:U54)</f>
        <v>0</v>
      </c>
      <c r="V64" s="45"/>
      <c r="W64" s="45"/>
      <c r="X64" s="16"/>
      <c r="Y64" s="16"/>
      <c r="Z64" s="16"/>
      <c r="AA64" s="16">
        <f>SUM(AA6:AA54)</f>
        <v>0</v>
      </c>
      <c r="AB64" s="16">
        <f>SUM(AB6:AB54)</f>
        <v>0</v>
      </c>
      <c r="AC64" s="45"/>
      <c r="AD64" s="45"/>
      <c r="AE64" s="16"/>
      <c r="AF64" s="16"/>
      <c r="AG64" s="16"/>
      <c r="AH64" s="16">
        <f>SUM(AH6:AH54)</f>
        <v>0</v>
      </c>
      <c r="AI64" s="16">
        <f>SUM(AI6:AI54)</f>
        <v>0</v>
      </c>
      <c r="AJ64" s="16"/>
      <c r="AK64" s="16"/>
      <c r="AL64" s="16"/>
      <c r="AM64" s="56"/>
      <c r="AN64" s="57"/>
      <c r="AO64" s="34"/>
      <c r="AP64" s="14"/>
      <c r="AQ64" s="46"/>
      <c r="AR64" s="47"/>
      <c r="AS64" s="14"/>
      <c r="AT64" s="44"/>
      <c r="AU64" s="14"/>
      <c r="AV64" s="14"/>
      <c r="AW64" s="14"/>
      <c r="AX64" s="14"/>
      <c r="AY64" s="14"/>
      <c r="AZ64" s="14"/>
      <c r="BA64" s="14"/>
      <c r="BB64" s="14"/>
    </row>
    <row r="65" spans="1:54" x14ac:dyDescent="0.3">
      <c r="A65" s="53"/>
      <c r="B65" s="17"/>
      <c r="C65" s="17"/>
      <c r="D65" s="17"/>
      <c r="E65" s="16"/>
      <c r="F65" s="125"/>
      <c r="G65" s="16"/>
      <c r="H65" s="263" t="s">
        <v>169</v>
      </c>
      <c r="I65" s="2">
        <f>45*8</f>
        <v>360</v>
      </c>
      <c r="J65" s="2">
        <f>45*8</f>
        <v>360</v>
      </c>
      <c r="K65" s="2">
        <f>45*8</f>
        <v>360</v>
      </c>
      <c r="L65" s="2">
        <f>COUNTA(L13:L57)*8</f>
        <v>8</v>
      </c>
      <c r="M65" s="2">
        <f>COUNTA(M13:M57)*8</f>
        <v>0</v>
      </c>
      <c r="N65" s="2">
        <f>45*8</f>
        <v>360</v>
      </c>
      <c r="O65" s="2">
        <f>45*8</f>
        <v>360</v>
      </c>
      <c r="P65" s="2">
        <f>45*8</f>
        <v>360</v>
      </c>
      <c r="Q65" s="2">
        <f>45*8</f>
        <v>360</v>
      </c>
      <c r="R65" s="2">
        <v>0</v>
      </c>
      <c r="S65" s="2">
        <f>COUNTA(S13:S57)*8</f>
        <v>0</v>
      </c>
      <c r="T65" s="2">
        <f>COUNTA(T13:T57)*8</f>
        <v>0</v>
      </c>
      <c r="U65" s="2">
        <v>0</v>
      </c>
      <c r="V65" s="2">
        <f>45*8</f>
        <v>360</v>
      </c>
      <c r="W65" s="2">
        <f>45*8</f>
        <v>360</v>
      </c>
      <c r="X65" s="2">
        <f>45*8</f>
        <v>360</v>
      </c>
      <c r="Y65" s="2">
        <f>45*8</f>
        <v>360</v>
      </c>
      <c r="Z65" s="2"/>
      <c r="AA65" s="2"/>
      <c r="AB65" s="2">
        <f>45*8</f>
        <v>360</v>
      </c>
      <c r="AC65" s="2">
        <f>45*8</f>
        <v>360</v>
      </c>
      <c r="AD65" s="2">
        <f>45*8</f>
        <v>360</v>
      </c>
      <c r="AE65" s="2">
        <f>45*8</f>
        <v>360</v>
      </c>
      <c r="AF65" s="2">
        <f>45*8</f>
        <v>360</v>
      </c>
      <c r="AG65" s="2">
        <f>COUNTA(AG13:AG57)*8</f>
        <v>0</v>
      </c>
      <c r="AH65" s="2">
        <f>COUNTA(AH13:AH57)*8</f>
        <v>0</v>
      </c>
      <c r="AI65" s="2">
        <f>45*8</f>
        <v>360</v>
      </c>
      <c r="AJ65" s="2">
        <f>45*8</f>
        <v>360</v>
      </c>
      <c r="AK65" s="2">
        <f>45*8</f>
        <v>360</v>
      </c>
      <c r="AL65" s="2">
        <f>45*8</f>
        <v>360</v>
      </c>
      <c r="AM65" s="56"/>
      <c r="AN65" s="57"/>
      <c r="AO65" s="34"/>
      <c r="AP65" s="14"/>
      <c r="AQ65" s="46"/>
      <c r="AR65" s="47"/>
      <c r="AS65" s="14"/>
      <c r="AT65" s="44"/>
      <c r="AU65" s="14"/>
      <c r="AV65" s="14"/>
      <c r="AW65" s="14"/>
      <c r="AX65" s="14"/>
      <c r="AY65" s="14"/>
      <c r="AZ65" s="14"/>
      <c r="BA65" s="14"/>
      <c r="BB65" s="14"/>
    </row>
    <row r="66" spans="1:54" x14ac:dyDescent="0.3">
      <c r="A66" s="2"/>
      <c r="B66" s="1"/>
      <c r="C66" s="1"/>
      <c r="D66" s="1"/>
      <c r="E66" s="2"/>
      <c r="F66" s="2"/>
      <c r="G66" s="2"/>
      <c r="H66" s="263" t="s">
        <v>170</v>
      </c>
      <c r="I66" s="2">
        <f>SUM(I13:I57)</f>
        <v>344</v>
      </c>
      <c r="J66" s="2">
        <f>SUM(J13:J54)</f>
        <v>328</v>
      </c>
      <c r="K66" s="2">
        <f>SUM(K13:K54)</f>
        <v>317</v>
      </c>
      <c r="L66" s="2">
        <f>SUM(L13:L54)</f>
        <v>5</v>
      </c>
      <c r="M66" s="2">
        <f>SUM(M13:M54)</f>
        <v>0</v>
      </c>
      <c r="N66" s="2">
        <f>SUM(N13:N54)</f>
        <v>320</v>
      </c>
      <c r="O66" s="2">
        <f>SUM(O13:O54)</f>
        <v>320</v>
      </c>
      <c r="P66" s="2">
        <f>SUM(P13:P54)</f>
        <v>216</v>
      </c>
      <c r="Q66" s="2"/>
      <c r="R66" s="2"/>
      <c r="S66" s="2">
        <f>SUM(S13:S56)</f>
        <v>0</v>
      </c>
      <c r="T66" s="2">
        <f>SUM(T13:T56)</f>
        <v>0</v>
      </c>
      <c r="U66" s="2">
        <f>SUM(U13:U56)</f>
        <v>0</v>
      </c>
      <c r="V66" s="2">
        <f>SUM(V13:V56)</f>
        <v>72</v>
      </c>
      <c r="W66" s="2">
        <f>SUM(W13:W56)</f>
        <v>72</v>
      </c>
      <c r="X66" s="2">
        <f>SUM(X13:X56)</f>
        <v>0</v>
      </c>
      <c r="Y66" s="2">
        <f>SUM(Y13:Y56)</f>
        <v>0</v>
      </c>
      <c r="Z66" s="2">
        <f>SUM(Z13:Z56)</f>
        <v>0</v>
      </c>
      <c r="AA66" s="2">
        <f>SUM(AA13:AA56)</f>
        <v>0</v>
      </c>
      <c r="AB66" s="2">
        <f>SUM(AB13:AB56)</f>
        <v>0</v>
      </c>
      <c r="AC66" s="2">
        <f>SUM(AC13:AC56)</f>
        <v>0</v>
      </c>
      <c r="AD66" s="2">
        <f>SUM(AD13:AD56)</f>
        <v>0</v>
      </c>
      <c r="AE66" s="2">
        <f>SUM(AE13:AE56)</f>
        <v>0</v>
      </c>
      <c r="AF66" s="2">
        <f>SUM(AF13:AF56)</f>
        <v>0</v>
      </c>
      <c r="AG66" s="2">
        <f>SUM(AG13:AG56)</f>
        <v>0</v>
      </c>
      <c r="AH66" s="2">
        <f>SUM(AH13:AH56)</f>
        <v>0</v>
      </c>
      <c r="AI66" s="2">
        <f>SUM(AI13:AI55)</f>
        <v>0</v>
      </c>
      <c r="AJ66" s="2">
        <f>SUM(AJ13:AJ55)</f>
        <v>0</v>
      </c>
      <c r="AK66" s="2">
        <f>SUM(AK13:AK55)</f>
        <v>0</v>
      </c>
      <c r="AL66" s="2">
        <f>SUM(AL13:AL55)</f>
        <v>0</v>
      </c>
      <c r="AN66" s="51"/>
    </row>
    <row r="67" spans="1:54" x14ac:dyDescent="0.3">
      <c r="A67" s="2"/>
      <c r="B67" s="1"/>
      <c r="C67" s="1"/>
      <c r="D67" s="1"/>
      <c r="E67" s="2"/>
      <c r="F67" s="2"/>
      <c r="G67" s="2"/>
      <c r="H67" s="265" t="s">
        <v>171</v>
      </c>
      <c r="I67" s="2">
        <f>COUNTIF(I13:I56,"bo")</f>
        <v>1</v>
      </c>
      <c r="J67" s="2">
        <f>COUNTIF(J13:J56,"bo")</f>
        <v>1</v>
      </c>
      <c r="K67" s="2">
        <f>COUNTIF(K13:K56,"bo")</f>
        <v>1</v>
      </c>
      <c r="L67" s="2">
        <f>COUNTIF(L13:L56,"bo")</f>
        <v>0</v>
      </c>
      <c r="M67" s="2">
        <f>COUNTIF(M13:M56,"bo")</f>
        <v>0</v>
      </c>
      <c r="N67" s="2">
        <f>COUNTIF(N13:N56,"bo")</f>
        <v>2</v>
      </c>
      <c r="O67" s="2">
        <f>COUNTIF(O13:O56,"bo")</f>
        <v>2</v>
      </c>
      <c r="P67" s="2">
        <f>COUNTIF(P13:P56,"bo")</f>
        <v>2</v>
      </c>
      <c r="Q67" s="2">
        <f>COUNTIF(Q13:Q56,"bo")</f>
        <v>2</v>
      </c>
      <c r="R67" s="2">
        <f>COUNTIF(R13:R56,"bo")</f>
        <v>0</v>
      </c>
      <c r="S67" s="2">
        <f>COUNTIF(S13:S56,"bo")</f>
        <v>0</v>
      </c>
      <c r="T67" s="2">
        <f>COUNTIF(T13:T56,"bo")</f>
        <v>0</v>
      </c>
      <c r="U67" s="2">
        <f>COUNTIF(U13:U56,"bo")</f>
        <v>0</v>
      </c>
      <c r="V67" s="2">
        <f>COUNTIF(V13:V56,"bo")</f>
        <v>1</v>
      </c>
      <c r="W67" s="2">
        <f>COUNTIF(W13:W56,"bo")</f>
        <v>1</v>
      </c>
      <c r="X67" s="2">
        <f>COUNTIF(X13:X56,"bo")</f>
        <v>1</v>
      </c>
      <c r="Y67" s="2">
        <f>COUNTIF(Y13:Y56,"bo")</f>
        <v>1</v>
      </c>
      <c r="Z67" s="2">
        <f>COUNTIF(Z13:Z56,"bo")</f>
        <v>0</v>
      </c>
      <c r="AA67" s="2">
        <f>COUNTIF(AA13:AA56,"bo")</f>
        <v>0</v>
      </c>
      <c r="AB67" s="2">
        <f>COUNTIF(AB13:AB56,"bo")</f>
        <v>0</v>
      </c>
      <c r="AC67" s="2">
        <f>COUNTIF(AC13:AC56,"bo")</f>
        <v>0</v>
      </c>
      <c r="AD67" s="2">
        <f>COUNTIF(AD13:AD56,"bo")</f>
        <v>0</v>
      </c>
      <c r="AE67" s="2">
        <f>COUNTIF(AE13:AE56,"bo")</f>
        <v>0</v>
      </c>
      <c r="AF67" s="2">
        <f>COUNTIF(AF13:AF56,"bo")</f>
        <v>0</v>
      </c>
      <c r="AG67" s="2">
        <f>COUNTIF(AG13:AG56,"bo")</f>
        <v>0</v>
      </c>
      <c r="AH67" s="2">
        <f>COUNTIF(AH13:AH56,"bo")</f>
        <v>0</v>
      </c>
      <c r="AI67" s="2">
        <f>COUNTIF(AI13:AI56,"bo")</f>
        <v>0</v>
      </c>
      <c r="AJ67" s="2">
        <f>COUNTIF(AJ13:AJ56,"bo")</f>
        <v>0</v>
      </c>
      <c r="AK67" s="2">
        <f>COUNTIF(AK13:AK56,"bo")</f>
        <v>0</v>
      </c>
      <c r="AL67" s="2">
        <f>COUNTIF(AL13:AL56,"bo")</f>
        <v>0</v>
      </c>
      <c r="AU67" s="4">
        <f>SUM(AU6:AU50)</f>
        <v>0</v>
      </c>
      <c r="AV67" s="4">
        <f>SUM(AV6:AV50)</f>
        <v>0</v>
      </c>
      <c r="AW67" s="4"/>
      <c r="AX67" s="4">
        <f>SUM(AX6:AX50)</f>
        <v>28</v>
      </c>
      <c r="AY67" s="4"/>
      <c r="AZ67" s="4">
        <f>SUM(AZ6:AZ50)</f>
        <v>11</v>
      </c>
    </row>
    <row r="68" spans="1:54" x14ac:dyDescent="0.3">
      <c r="A68" s="2"/>
      <c r="B68" s="1"/>
      <c r="C68" s="1"/>
      <c r="D68" s="1"/>
      <c r="E68" s="2"/>
      <c r="F68" s="2"/>
      <c r="G68" s="2"/>
      <c r="H68" s="265" t="s">
        <v>172</v>
      </c>
      <c r="I68" s="2">
        <f>COUNTIF(I6:I54,"sd")+COUNTIF(I6:I54,"ks")+COUNTIF(I6:I54,"go")</f>
        <v>1</v>
      </c>
      <c r="J68" s="2">
        <f>COUNTIF(J6:J54,"sd")+COUNTIF(J6:J54,"ks")+COUNTIF(J6:J54,"go")</f>
        <v>0</v>
      </c>
      <c r="K68" s="2">
        <f>COUNTIF(K6:K54,"sd")+COUNTIF(K6:K54,"ks")+COUNTIF(K6:K54,"go")</f>
        <v>0</v>
      </c>
      <c r="L68" s="2">
        <f>COUNTIF(L6:L54,"sd")+COUNTIF(L6:L54,"ks")+COUNTIF(L6:L54,"go")</f>
        <v>0</v>
      </c>
      <c r="M68" s="2">
        <f>COUNTIF(M6:M54,"sd")+COUNTIF(M6:M54,"ks")+COUNTIF(M6:M54,"go")</f>
        <v>0</v>
      </c>
      <c r="N68" s="2">
        <f>COUNTIF(N6:N54,"sd")+COUNTIF(N6:N54,"ks")+COUNTIF(N6:N54,"go")</f>
        <v>0</v>
      </c>
      <c r="O68" s="2">
        <f>COUNTIF(O13:O54,"sd")+COUNTIF(O13:O54,"ks")+COUNTIF(O13:O54,"go")</f>
        <v>0</v>
      </c>
      <c r="P68" s="2">
        <f>COUNTIF(P13:P54,"sd")+COUNTIF(P13:P54,"ks")+COUNTIF(P13:P54,"go")</f>
        <v>0</v>
      </c>
      <c r="Q68" s="2">
        <f>COUNTIF(Q13:Q54,"sd")+COUNTIF(Q13:Q54,"ks")+COUNTIF(Q13:Q54,"go")</f>
        <v>2</v>
      </c>
      <c r="R68" s="2">
        <f>COUNTIF(R13:R54,"sd")+COUNTIF(R13:R54,"ks")+COUNTIF(R13:R54,"go")</f>
        <v>0</v>
      </c>
      <c r="S68" s="2">
        <f>COUNTIF(S13:S54,"sd")+COUNTIF(S13:S54,"ks")+COUNTIF(S13:S54,"go")</f>
        <v>0</v>
      </c>
      <c r="T68" s="2">
        <f>COUNTIF(T13:T54,"sd")+COUNTIF(T13:T54,"ks")+COUNTIF(T13:T54,"go")</f>
        <v>0</v>
      </c>
      <c r="U68" s="2">
        <f>COUNTIF(U13:U54,"sd")+COUNTIF(U13:U54,"ks")+COUNTIF(U13:U54,"go")</f>
        <v>0</v>
      </c>
      <c r="V68" s="2">
        <f>COUNTIF(V13:V54,"sd")+COUNTIF(V13:V54,"ks")+COUNTIF(V13:V54,"go")</f>
        <v>0</v>
      </c>
      <c r="W68" s="2">
        <f>COUNTIF(W13:W54,"sd")+COUNTIF(W13:W54,"ks")+COUNTIF(W13:W54,"go")</f>
        <v>0</v>
      </c>
      <c r="X68" s="2">
        <f>COUNTIF(X13:X54,"sd")+COUNTIF(X13:X54,"ks")+COUNTIF(X13:X54,"go")</f>
        <v>0</v>
      </c>
      <c r="Y68" s="2">
        <f>COUNTIF(Y13:Y54,"sd")+COUNTIF(Y13:Y54,"ks")+COUNTIF(Y13:Y54,"go")</f>
        <v>0</v>
      </c>
      <c r="Z68" s="2">
        <f>COUNTIF(Z13:Z54,"sd")+COUNTIF(Z13:Z54,"ks")+COUNTIF(Z13:Z54,"go")</f>
        <v>0</v>
      </c>
      <c r="AA68" s="2">
        <f>COUNTIF(AA13:AA54,"sd")+COUNTIF(AA13:AA54,"ks")+COUNTIF(AA13:AA54,"go")</f>
        <v>0</v>
      </c>
      <c r="AB68" s="2">
        <f>COUNTIF(AB13:AB54,"sd")+COUNTIF(AB13:AB54,"ks")+COUNTIF(AB13:AB54,"go")</f>
        <v>0</v>
      </c>
      <c r="AC68" s="2">
        <f>COUNTIF(AC13:AC54,"sd")+COUNTIF(AC13:AC54,"ks")+COUNTIF(AC13:AC54,"go")</f>
        <v>0</v>
      </c>
      <c r="AD68" s="2">
        <f>COUNTIF(AD13:AD54,"sd")+COUNTIF(AD13:AD54,"ks")+COUNTIF(AD13:AD54,"go")</f>
        <v>0</v>
      </c>
      <c r="AE68" s="2">
        <f>COUNTIF(AE13:AE54,"sd")+COUNTIF(AE13:AE54,"ks")+COUNTIF(AE13:AE54,"go")</f>
        <v>0</v>
      </c>
      <c r="AF68" s="2">
        <f>COUNTIF(AF13:AF54,"sd")+COUNTIF(AF13:AF54,"ks")+COUNTIF(AF13:AF54,"go")</f>
        <v>0</v>
      </c>
      <c r="AG68" s="2">
        <f>COUNTIF(AG13:AG54,"sd")+COUNTIF(AG13:AG54,"ks")+COUNTIF(AG13:AG54,"go")</f>
        <v>0</v>
      </c>
      <c r="AH68" s="2">
        <f>COUNTIF(AH13:AH54,"sd")+COUNTIF(AH13:AH54,"ks")+COUNTIF(AH13:AH54,"go")</f>
        <v>0</v>
      </c>
      <c r="AI68" s="2">
        <f>COUNTIF(AI13:AI54,"sd")+COUNTIF(AI13:AI54,"ks")+COUNTIF(AI13:AI54,"go")</f>
        <v>0</v>
      </c>
      <c r="AJ68" s="2">
        <f>COUNTIF(AJ13:AJ54,"sd")+COUNTIF(AJ13:AJ54,"ks")+COUNTIF(AJ13:AJ54,"go")</f>
        <v>0</v>
      </c>
      <c r="AK68" s="2">
        <f>COUNTIF(AK13:AK54,"sd")+COUNTIF(AK13:AK54,"ks")+COUNTIF(AK13:AK54,"go")</f>
        <v>0</v>
      </c>
      <c r="AL68" s="2">
        <f>COUNTIF(AL13:AL54,"sd")+COUNTIF(AL13:AL54,"ks")+COUNTIF(AL13:AL54,"go")</f>
        <v>0</v>
      </c>
    </row>
    <row r="69" spans="1:54" x14ac:dyDescent="0.3">
      <c r="A69" s="2"/>
      <c r="B69" s="5" t="s">
        <v>173</v>
      </c>
      <c r="C69" s="2"/>
      <c r="D69" s="2"/>
      <c r="E69" s="2"/>
      <c r="F69" s="2"/>
      <c r="G69" s="2"/>
      <c r="H69" s="26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124"/>
      <c r="AJ69" s="124"/>
      <c r="AK69" s="124"/>
      <c r="AL69" s="124"/>
    </row>
    <row r="70" spans="1:54" x14ac:dyDescent="0.3">
      <c r="A70" s="2"/>
      <c r="B70" s="285" t="s">
        <v>174</v>
      </c>
      <c r="C70" s="285"/>
      <c r="D70" s="3"/>
      <c r="E70" s="2"/>
      <c r="F70" s="2"/>
      <c r="G70" s="2"/>
      <c r="H70" s="265"/>
      <c r="I70" s="2">
        <f t="shared" ref="I70:AI70" si="16">I5</f>
        <v>1</v>
      </c>
      <c r="J70" s="2">
        <f t="shared" si="16"/>
        <v>2</v>
      </c>
      <c r="K70" s="2">
        <f t="shared" si="16"/>
        <v>3</v>
      </c>
      <c r="L70" s="2">
        <f t="shared" si="16"/>
        <v>4</v>
      </c>
      <c r="M70" s="2">
        <f t="shared" si="16"/>
        <v>5</v>
      </c>
      <c r="N70" s="2">
        <f t="shared" si="16"/>
        <v>6</v>
      </c>
      <c r="O70" s="2">
        <f t="shared" si="16"/>
        <v>7</v>
      </c>
      <c r="P70" s="2">
        <f t="shared" si="16"/>
        <v>8</v>
      </c>
      <c r="Q70" s="2">
        <f t="shared" si="16"/>
        <v>9</v>
      </c>
      <c r="R70" s="2">
        <f t="shared" si="16"/>
        <v>10</v>
      </c>
      <c r="S70" s="2">
        <f t="shared" si="16"/>
        <v>11</v>
      </c>
      <c r="T70" s="2">
        <f t="shared" si="16"/>
        <v>12</v>
      </c>
      <c r="U70" s="2">
        <f t="shared" si="16"/>
        <v>13</v>
      </c>
      <c r="V70" s="2">
        <f t="shared" si="16"/>
        <v>14</v>
      </c>
      <c r="W70" s="2">
        <f t="shared" si="16"/>
        <v>15</v>
      </c>
      <c r="X70" s="2">
        <f t="shared" si="16"/>
        <v>16</v>
      </c>
      <c r="Y70" s="2">
        <f t="shared" si="16"/>
        <v>17</v>
      </c>
      <c r="Z70" s="2">
        <f t="shared" si="16"/>
        <v>18</v>
      </c>
      <c r="AA70" s="2">
        <f t="shared" si="16"/>
        <v>19</v>
      </c>
      <c r="AB70" s="2">
        <f t="shared" si="16"/>
        <v>20</v>
      </c>
      <c r="AC70" s="2">
        <f t="shared" si="16"/>
        <v>21</v>
      </c>
      <c r="AD70" s="2">
        <f t="shared" si="16"/>
        <v>22</v>
      </c>
      <c r="AE70" s="2">
        <f t="shared" si="16"/>
        <v>23</v>
      </c>
      <c r="AF70" s="2">
        <f t="shared" si="16"/>
        <v>24</v>
      </c>
      <c r="AG70" s="2">
        <f t="shared" si="16"/>
        <v>25</v>
      </c>
      <c r="AH70" s="2">
        <f t="shared" si="16"/>
        <v>26</v>
      </c>
      <c r="AI70" s="2">
        <f t="shared" si="16"/>
        <v>27</v>
      </c>
      <c r="AJ70" s="2">
        <f>AJ5</f>
        <v>28</v>
      </c>
      <c r="AK70" s="2">
        <f>AK5</f>
        <v>29</v>
      </c>
      <c r="AL70" s="2">
        <f>AL5</f>
        <v>30</v>
      </c>
      <c r="AM70" s="2"/>
      <c r="AN70" s="2"/>
      <c r="AO70" s="2"/>
      <c r="AU70" s="21" t="s">
        <v>23</v>
      </c>
      <c r="AV70" s="27"/>
      <c r="AY70" s="21" t="s">
        <v>20</v>
      </c>
      <c r="AZ70" s="27"/>
    </row>
    <row r="71" spans="1:54" x14ac:dyDescent="0.3">
      <c r="A71" s="2"/>
      <c r="B71" s="285" t="s">
        <v>175</v>
      </c>
      <c r="C71" s="285"/>
      <c r="D71" s="3"/>
      <c r="E71" s="2"/>
      <c r="F71" s="2"/>
      <c r="G71" s="2"/>
      <c r="H71" s="265" t="s">
        <v>176</v>
      </c>
      <c r="I71" s="2">
        <f t="shared" ref="I71:AI71" si="17">I67*8</f>
        <v>8</v>
      </c>
      <c r="J71" s="2">
        <f t="shared" si="17"/>
        <v>8</v>
      </c>
      <c r="K71" s="2">
        <f t="shared" si="17"/>
        <v>8</v>
      </c>
      <c r="L71" s="2">
        <f t="shared" si="17"/>
        <v>0</v>
      </c>
      <c r="M71" s="2">
        <f t="shared" si="17"/>
        <v>0</v>
      </c>
      <c r="N71" s="2">
        <f t="shared" si="17"/>
        <v>16</v>
      </c>
      <c r="O71" s="2">
        <f t="shared" si="17"/>
        <v>16</v>
      </c>
      <c r="P71" s="2">
        <f t="shared" si="17"/>
        <v>16</v>
      </c>
      <c r="Q71" s="2">
        <f t="shared" si="17"/>
        <v>16</v>
      </c>
      <c r="R71" s="2">
        <f t="shared" si="17"/>
        <v>0</v>
      </c>
      <c r="S71" s="2">
        <f t="shared" si="17"/>
        <v>0</v>
      </c>
      <c r="T71" s="2">
        <f t="shared" si="17"/>
        <v>0</v>
      </c>
      <c r="U71" s="2">
        <f t="shared" si="17"/>
        <v>0</v>
      </c>
      <c r="V71" s="2">
        <f t="shared" si="17"/>
        <v>8</v>
      </c>
      <c r="W71" s="2">
        <f t="shared" si="17"/>
        <v>8</v>
      </c>
      <c r="X71" s="2">
        <f t="shared" si="17"/>
        <v>8</v>
      </c>
      <c r="Y71" s="2">
        <f t="shared" si="17"/>
        <v>8</v>
      </c>
      <c r="Z71" s="2">
        <f t="shared" si="17"/>
        <v>0</v>
      </c>
      <c r="AA71" s="2">
        <f t="shared" si="17"/>
        <v>0</v>
      </c>
      <c r="AB71" s="2">
        <f t="shared" si="17"/>
        <v>0</v>
      </c>
      <c r="AC71" s="2">
        <f t="shared" si="17"/>
        <v>0</v>
      </c>
      <c r="AD71" s="2">
        <f t="shared" si="17"/>
        <v>0</v>
      </c>
      <c r="AE71" s="2">
        <f t="shared" si="17"/>
        <v>0</v>
      </c>
      <c r="AF71" s="2">
        <f t="shared" si="17"/>
        <v>0</v>
      </c>
      <c r="AG71" s="2">
        <f t="shared" si="17"/>
        <v>0</v>
      </c>
      <c r="AH71" s="2">
        <f t="shared" si="17"/>
        <v>0</v>
      </c>
      <c r="AI71" s="2">
        <f t="shared" si="17"/>
        <v>0</v>
      </c>
      <c r="AJ71" s="2">
        <f>AJ67*8</f>
        <v>0</v>
      </c>
      <c r="AK71" s="2">
        <f>AK67*8</f>
        <v>0</v>
      </c>
      <c r="AL71" s="2">
        <f>AL67*8</f>
        <v>0</v>
      </c>
      <c r="AM71" s="1"/>
      <c r="AN71" s="1"/>
      <c r="AO71" s="1"/>
      <c r="AU71" s="28"/>
      <c r="AV71" s="29"/>
      <c r="AY71" s="28"/>
      <c r="AZ71" s="29"/>
    </row>
    <row r="72" spans="1:54" x14ac:dyDescent="0.3">
      <c r="A72" s="2"/>
      <c r="B72" s="285" t="s">
        <v>177</v>
      </c>
      <c r="C72" s="285"/>
      <c r="D72" s="3"/>
      <c r="E72" s="2"/>
      <c r="F72" s="2"/>
      <c r="G72" s="2"/>
      <c r="H72" s="265" t="s">
        <v>178</v>
      </c>
      <c r="I72" s="52">
        <f t="shared" ref="I72:AI72" si="18">I71/I65</f>
        <v>2.2222222222222223E-2</v>
      </c>
      <c r="J72" s="52">
        <f t="shared" si="18"/>
        <v>2.2222222222222223E-2</v>
      </c>
      <c r="K72" s="52">
        <f t="shared" si="18"/>
        <v>2.2222222222222223E-2</v>
      </c>
      <c r="L72" s="52">
        <f t="shared" si="18"/>
        <v>0</v>
      </c>
      <c r="M72" s="52" t="e">
        <f t="shared" si="18"/>
        <v>#DIV/0!</v>
      </c>
      <c r="N72" s="52">
        <f t="shared" si="18"/>
        <v>4.4444444444444446E-2</v>
      </c>
      <c r="O72" s="52">
        <f t="shared" si="18"/>
        <v>4.4444444444444446E-2</v>
      </c>
      <c r="P72" s="52">
        <f t="shared" si="18"/>
        <v>4.4444444444444446E-2</v>
      </c>
      <c r="Q72" s="52">
        <f t="shared" si="18"/>
        <v>4.4444444444444446E-2</v>
      </c>
      <c r="R72" s="52" t="e">
        <f t="shared" si="18"/>
        <v>#DIV/0!</v>
      </c>
      <c r="S72" s="52" t="e">
        <f t="shared" si="18"/>
        <v>#DIV/0!</v>
      </c>
      <c r="T72" s="52" t="e">
        <f t="shared" si="18"/>
        <v>#DIV/0!</v>
      </c>
      <c r="U72" s="52" t="e">
        <f t="shared" si="18"/>
        <v>#DIV/0!</v>
      </c>
      <c r="V72" s="52">
        <f t="shared" si="18"/>
        <v>2.2222222222222223E-2</v>
      </c>
      <c r="W72" s="52">
        <f t="shared" si="18"/>
        <v>2.2222222222222223E-2</v>
      </c>
      <c r="X72" s="52">
        <f t="shared" si="18"/>
        <v>2.2222222222222223E-2</v>
      </c>
      <c r="Y72" s="52">
        <f t="shared" si="18"/>
        <v>2.2222222222222223E-2</v>
      </c>
      <c r="Z72" s="52" t="e">
        <f t="shared" si="18"/>
        <v>#DIV/0!</v>
      </c>
      <c r="AA72" s="52" t="e">
        <f t="shared" si="18"/>
        <v>#DIV/0!</v>
      </c>
      <c r="AB72" s="52">
        <f t="shared" si="18"/>
        <v>0</v>
      </c>
      <c r="AC72" s="52">
        <f t="shared" si="18"/>
        <v>0</v>
      </c>
      <c r="AD72" s="52">
        <f t="shared" si="18"/>
        <v>0</v>
      </c>
      <c r="AE72" s="52">
        <f t="shared" si="18"/>
        <v>0</v>
      </c>
      <c r="AF72" s="52">
        <f t="shared" si="18"/>
        <v>0</v>
      </c>
      <c r="AG72" s="52" t="e">
        <f t="shared" si="18"/>
        <v>#DIV/0!</v>
      </c>
      <c r="AH72" s="52" t="e">
        <f t="shared" si="18"/>
        <v>#DIV/0!</v>
      </c>
      <c r="AI72" s="52">
        <f t="shared" si="18"/>
        <v>0</v>
      </c>
      <c r="AJ72" s="52">
        <f>AJ71/AJ65</f>
        <v>0</v>
      </c>
      <c r="AK72" s="52">
        <f>AK71/AK65</f>
        <v>0</v>
      </c>
      <c r="AL72" s="52">
        <f>AL71/AL65</f>
        <v>0</v>
      </c>
      <c r="AM72" s="1"/>
      <c r="AN72" s="1"/>
      <c r="AO72" s="1"/>
      <c r="AU72" s="33" t="s">
        <v>179</v>
      </c>
      <c r="AV72" s="32"/>
      <c r="AY72" s="33" t="s">
        <v>180</v>
      </c>
      <c r="AZ72" s="32"/>
    </row>
    <row r="73" spans="1:54" x14ac:dyDescent="0.3">
      <c r="A73" s="1"/>
      <c r="B73" s="3" t="s">
        <v>181</v>
      </c>
      <c r="C73" s="3"/>
      <c r="D73" s="3"/>
      <c r="E73" s="120"/>
      <c r="F73" s="120"/>
      <c r="G73" s="120"/>
      <c r="H73" s="266"/>
      <c r="I73" s="120"/>
      <c r="J73" s="286"/>
      <c r="K73" s="286"/>
      <c r="L73" s="120"/>
      <c r="M73" s="120"/>
      <c r="N73" s="120"/>
      <c r="O73" s="120"/>
      <c r="P73" s="120"/>
      <c r="Q73" s="286"/>
      <c r="R73" s="286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"/>
      <c r="AN73" s="1"/>
      <c r="AO73" s="1"/>
    </row>
    <row r="74" spans="1:54" x14ac:dyDescent="0.3">
      <c r="A74" s="1"/>
      <c r="B74" s="3" t="s">
        <v>182</v>
      </c>
      <c r="C74" s="3"/>
      <c r="D74" s="3"/>
      <c r="E74" s="120"/>
      <c r="F74" s="120"/>
      <c r="G74" s="120"/>
      <c r="H74" s="266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  <c r="AI74" s="120"/>
      <c r="AJ74" s="120"/>
      <c r="AK74" s="120"/>
      <c r="AL74" s="120"/>
      <c r="AM74" s="1"/>
      <c r="AN74" s="1"/>
      <c r="AO74" s="1"/>
      <c r="AU74" s="21"/>
      <c r="AV74" s="26"/>
      <c r="AW74" s="27"/>
      <c r="AY74" s="21"/>
      <c r="AZ74" s="26"/>
      <c r="BA74" s="27"/>
    </row>
    <row r="75" spans="1:54" x14ac:dyDescent="0.3">
      <c r="A75" s="1"/>
      <c r="B75" s="3" t="s">
        <v>183</v>
      </c>
      <c r="C75" s="3"/>
      <c r="D75" s="3"/>
      <c r="E75" s="120"/>
      <c r="F75" s="120"/>
      <c r="G75" s="120"/>
      <c r="H75" s="266"/>
      <c r="I75" s="120"/>
      <c r="J75" s="286"/>
      <c r="K75" s="286"/>
      <c r="L75" s="120"/>
      <c r="M75" s="120"/>
      <c r="N75" s="120"/>
      <c r="O75" s="120"/>
      <c r="P75" s="120"/>
      <c r="Q75" s="286"/>
      <c r="R75" s="286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"/>
      <c r="AN75" s="1"/>
      <c r="AO75" s="1"/>
      <c r="AU75" s="28"/>
      <c r="AW75" s="29"/>
      <c r="AY75" s="28"/>
      <c r="BA75" s="29"/>
    </row>
    <row r="76" spans="1:54" x14ac:dyDescent="0.3">
      <c r="A76" s="1"/>
      <c r="B76" s="3" t="s">
        <v>184</v>
      </c>
      <c r="C76" s="3"/>
      <c r="D76" s="3"/>
      <c r="E76" s="120"/>
      <c r="F76" s="120"/>
      <c r="G76" s="120"/>
      <c r="H76" s="266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  <c r="AI76" s="120"/>
      <c r="AJ76" s="120"/>
      <c r="AK76" s="120"/>
      <c r="AL76" s="120"/>
      <c r="AM76" s="1"/>
      <c r="AN76" s="1"/>
      <c r="AO76" s="1"/>
      <c r="AU76" s="30"/>
      <c r="AV76" s="31"/>
      <c r="AW76" s="32"/>
      <c r="AY76" s="30"/>
      <c r="AZ76" s="31"/>
      <c r="BA76" s="32"/>
    </row>
    <row r="77" spans="1:54" x14ac:dyDescent="0.3">
      <c r="A77" s="1"/>
      <c r="B77" s="6" t="s">
        <v>185</v>
      </c>
      <c r="C77" s="7"/>
      <c r="D77" s="7"/>
      <c r="E77" s="120"/>
      <c r="F77" s="120"/>
      <c r="G77" s="120"/>
      <c r="H77" s="266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  <c r="AI77" s="120"/>
      <c r="AJ77" s="120"/>
      <c r="AK77" s="120"/>
      <c r="AL77" s="120"/>
      <c r="AM77" s="1"/>
      <c r="AN77" s="1"/>
      <c r="AO77" s="1"/>
    </row>
    <row r="78" spans="1:54" x14ac:dyDescent="0.3">
      <c r="A78" s="1"/>
      <c r="B78" s="8" t="s">
        <v>186</v>
      </c>
      <c r="C78" s="7"/>
      <c r="D78" s="7"/>
      <c r="E78" s="120"/>
      <c r="F78" s="120"/>
      <c r="G78" s="120"/>
      <c r="H78" s="266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  <c r="AI78" s="120"/>
      <c r="AJ78" s="120"/>
      <c r="AK78" s="120"/>
      <c r="AL78" s="120"/>
      <c r="AM78" s="1"/>
      <c r="AN78" s="1"/>
      <c r="AO78" s="1"/>
    </row>
    <row r="79" spans="1:54" x14ac:dyDescent="0.3">
      <c r="A79" s="1"/>
      <c r="B79" s="9" t="s">
        <v>187</v>
      </c>
      <c r="C79" s="1"/>
      <c r="D79" s="1"/>
      <c r="E79" s="120"/>
      <c r="F79" s="120"/>
      <c r="G79" s="120"/>
      <c r="H79" s="266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  <c r="AI79" s="120"/>
      <c r="AJ79" s="120"/>
      <c r="AK79" s="120"/>
      <c r="AL79" s="120"/>
      <c r="AM79" s="1"/>
    </row>
    <row r="80" spans="1:54" x14ac:dyDescent="0.3">
      <c r="A80" s="1"/>
      <c r="B80" s="10" t="s">
        <v>188</v>
      </c>
      <c r="C80" s="1"/>
      <c r="D80" s="1"/>
      <c r="E80" s="120"/>
      <c r="F80" s="120"/>
      <c r="G80" s="120"/>
      <c r="H80" s="266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4"/>
      <c r="AI80" s="124"/>
      <c r="AJ80" s="124"/>
      <c r="AK80" s="124"/>
      <c r="AL80" s="124"/>
    </row>
    <row r="81" spans="2:41" x14ac:dyDescent="0.3">
      <c r="B81" s="13" t="s">
        <v>189</v>
      </c>
      <c r="E81" s="124"/>
      <c r="F81" s="124"/>
      <c r="G81" s="124"/>
      <c r="H81" s="263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0"/>
      <c r="AI81" s="120"/>
      <c r="AJ81" s="120"/>
      <c r="AK81" s="120"/>
      <c r="AL81" s="120"/>
      <c r="AM81" s="1"/>
      <c r="AN81" s="1"/>
    </row>
    <row r="82" spans="2:41" x14ac:dyDescent="0.3">
      <c r="B82" t="s">
        <v>190</v>
      </c>
      <c r="E82" s="124"/>
      <c r="F82" s="124"/>
      <c r="G82" s="124"/>
      <c r="H82" s="263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N82" s="1"/>
      <c r="AO82" s="1"/>
    </row>
    <row r="83" spans="2:41" x14ac:dyDescent="0.3">
      <c r="E83" s="124"/>
      <c r="F83" s="124"/>
      <c r="G83" s="124"/>
      <c r="H83" s="263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</row>
    <row r="84" spans="2:41" x14ac:dyDescent="0.3">
      <c r="E84" s="124"/>
      <c r="F84" s="124"/>
      <c r="G84" s="124"/>
      <c r="H84" s="263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</row>
    <row r="85" spans="2:41" x14ac:dyDescent="0.3">
      <c r="E85" s="124"/>
      <c r="F85" s="124"/>
      <c r="G85" s="124"/>
      <c r="H85" s="263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</row>
    <row r="86" spans="2:41" x14ac:dyDescent="0.3">
      <c r="E86" s="124"/>
      <c r="F86" s="124"/>
      <c r="G86" s="124"/>
      <c r="H86" s="263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</row>
    <row r="87" spans="2:41" x14ac:dyDescent="0.3">
      <c r="E87" s="124"/>
      <c r="F87" s="124"/>
      <c r="G87" s="124"/>
      <c r="H87" s="263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</row>
    <row r="88" spans="2:41" x14ac:dyDescent="0.3">
      <c r="E88" s="124"/>
      <c r="F88" s="124"/>
      <c r="G88" s="124"/>
      <c r="H88" s="263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</row>
    <row r="89" spans="2:41" x14ac:dyDescent="0.3">
      <c r="E89" s="124"/>
      <c r="F89" s="124"/>
      <c r="G89" s="124"/>
      <c r="H89" s="263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</row>
    <row r="90" spans="2:41" x14ac:dyDescent="0.3">
      <c r="E90" s="124"/>
      <c r="F90" s="124"/>
      <c r="G90" s="124"/>
      <c r="H90" s="263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</row>
    <row r="91" spans="2:41" x14ac:dyDescent="0.3">
      <c r="E91" s="124"/>
      <c r="F91" s="124"/>
      <c r="G91" s="124"/>
      <c r="H91" s="263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</row>
    <row r="92" spans="2:41" x14ac:dyDescent="0.3">
      <c r="E92" s="124"/>
      <c r="F92" s="124"/>
      <c r="G92" s="124"/>
      <c r="H92" s="263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</row>
  </sheetData>
  <mergeCells count="32">
    <mergeCell ref="E2:H2"/>
    <mergeCell ref="A3:A5"/>
    <mergeCell ref="B3:B5"/>
    <mergeCell ref="C3:C5"/>
    <mergeCell ref="D3:D5"/>
    <mergeCell ref="E3:E5"/>
    <mergeCell ref="F3:F5"/>
    <mergeCell ref="G3:G5"/>
    <mergeCell ref="H3:H5"/>
    <mergeCell ref="B70:C70"/>
    <mergeCell ref="B71:C71"/>
    <mergeCell ref="AS3:AS5"/>
    <mergeCell ref="AT3:AT5"/>
    <mergeCell ref="AU3:AU5"/>
    <mergeCell ref="AM3:AM5"/>
    <mergeCell ref="AN3:AN5"/>
    <mergeCell ref="AO3:AO5"/>
    <mergeCell ref="AQ3:AQ5"/>
    <mergeCell ref="AR3:AR5"/>
    <mergeCell ref="I3:AL4"/>
    <mergeCell ref="AY3:AY5"/>
    <mergeCell ref="AZ3:AZ5"/>
    <mergeCell ref="BA3:BA5"/>
    <mergeCell ref="BB3:BB5"/>
    <mergeCell ref="AV3:AV5"/>
    <mergeCell ref="AW3:AW5"/>
    <mergeCell ref="AX3:AX5"/>
    <mergeCell ref="B72:C72"/>
    <mergeCell ref="J73:K73"/>
    <mergeCell ref="Q73:R73"/>
    <mergeCell ref="J75:K75"/>
    <mergeCell ref="Q75:R7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DCB62D0CCCE749A8212E9B7DDD13D6" ma:contentTypeVersion="14" ma:contentTypeDescription="Creare un nuovo documento." ma:contentTypeScope="" ma:versionID="abed64cf26abb16a71379c778fbdebdf">
  <xsd:schema xmlns:xsd="http://www.w3.org/2001/XMLSchema" xmlns:xs="http://www.w3.org/2001/XMLSchema" xmlns:p="http://schemas.microsoft.com/office/2006/metadata/properties" xmlns:ns2="7f5545b9-d783-40fb-b6b9-0f4bf3ce6898" xmlns:ns3="2bba831f-98c2-42c4-802e-98b2e81145e6" targetNamespace="http://schemas.microsoft.com/office/2006/metadata/properties" ma:root="true" ma:fieldsID="e1ff0b2343e85726edc7191c3ce43727" ns2:_="" ns3:_="">
    <xsd:import namespace="7f5545b9-d783-40fb-b6b9-0f4bf3ce6898"/>
    <xsd:import namespace="2bba831f-98c2-42c4-802e-98b2e81145e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545b9-d783-40fb-b6b9-0f4bf3ce6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a5ba086-7292-49d4-8d66-eb178eb3e1e5}" ma:internalName="TaxCatchAll" ma:showField="CatchAllData" ma:web="7f5545b9-d783-40fb-b6b9-0f4bf3ce6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ba831f-98c2-42c4-802e-98b2e8114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6d823871-d728-4234-85e4-ba8bd2480f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ba831f-98c2-42c4-802e-98b2e81145e6">
      <Terms xmlns="http://schemas.microsoft.com/office/infopath/2007/PartnerControls"/>
    </lcf76f155ced4ddcb4097134ff3c332f>
    <TaxCatchAll xmlns="7f5545b9-d783-40fb-b6b9-0f4bf3ce68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CA7BCE-6C05-432D-8682-568768B4A3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545b9-d783-40fb-b6b9-0f4bf3ce6898"/>
    <ds:schemaRef ds:uri="2bba831f-98c2-42c4-802e-98b2e81145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F452A4-5BFC-4B7F-991B-58FF791AB7E3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2bba831f-98c2-42c4-802e-98b2e81145e6"/>
    <ds:schemaRef ds:uri="http://purl.org/dc/terms/"/>
    <ds:schemaRef ds:uri="http://schemas.microsoft.com/office/2006/documentManagement/types"/>
    <ds:schemaRef ds:uri="http://purl.org/dc/elements/1.1/"/>
    <ds:schemaRef ds:uri="7f5545b9-d783-40fb-b6b9-0f4bf3ce689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27AC2B0-C376-4F76-9533-E83FB79F7C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01_2026</vt:lpstr>
      <vt:lpstr>02_2026</vt:lpstr>
      <vt:lpstr>03_2026</vt:lpstr>
      <vt:lpstr>04_2026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Nenadović</dc:creator>
  <cp:keywords/>
  <dc:description/>
  <cp:lastModifiedBy>Dejan Paunović</cp:lastModifiedBy>
  <cp:revision/>
  <dcterms:created xsi:type="dcterms:W3CDTF">2025-01-13T07:19:08Z</dcterms:created>
  <dcterms:modified xsi:type="dcterms:W3CDTF">2026-04-16T10:44:44Z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0x01010000DCB62D0CCCE749A8212E9B7DDD13D6</vt:lpwstr>
  </property>
  <property fmtid="{D5CDD505-2E9C-101B-9397-08002B2CF9AE}" pid="3" name="MediaServiceImageTags">
    <vt:lpwstr/>
  </property>
</Properties>
</file>